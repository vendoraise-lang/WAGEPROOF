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bed9409b9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159d62337ac4e56"/>
    <x:sheet xmlns:r="http://schemas.openxmlformats.org/officeDocument/2006/relationships" name="Project Setup" sheetId="2" r:id="R49c4366e4f9b4641"/>
    <x:sheet xmlns:r="http://schemas.openxmlformats.org/officeDocument/2006/relationships" name="Estimate" sheetId="3" r:id="R725aa2074108429b"/>
    <x:sheet xmlns:r="http://schemas.openxmlformats.org/officeDocument/2006/relationships" name="Actual Costs" sheetId="4" r:id="Rba1e4de4d9144e34"/>
    <x:sheet xmlns:r="http://schemas.openxmlformats.org/officeDocument/2006/relationships" name="Change Orders" sheetId="5" r:id="Rc720550b247f4a74"/>
    <x:sheet xmlns:r="http://schemas.openxmlformats.org/officeDocument/2006/relationships" name="Payments" sheetId="6" r:id="Rd5b9f49c94c74b4e"/>
    <x:sheet xmlns:r="http://schemas.openxmlformats.org/officeDocument/2006/relationships" name="Dashboard" sheetId="7" r:id="R0b6d3d86fa6347d0"/>
    <x:sheet xmlns:r="http://schemas.openxmlformats.org/officeDocument/2006/relationships" name="RELEASE NOTES" sheetId="8" r:id="R3be9eab9b5c9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–"/>
    <x:numFmt numFmtId="201" formatCode="0.0%;[Red](0.0%);–"/>
    <x:numFmt numFmtId="202" formatCode="yyyy-mm-dd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087F8C"/>
      <x:name val="Carlito"/>
    </x:font>
    <x:font>
      <x:sz val="11"/>
      <x:color rgb="FF1656B8"/>
      <x:name val="Carlito"/>
    </x:font>
    <x:font>
      <x:sz val="11"/>
      <x:color rgb="FF087443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33B"/>
      </x:patternFill>
    </x:fill>
    <x:fill>
      <x:patternFill patternType="solid">
        <x:fgColor rgb="FF087F8C"/>
      </x:patternFill>
    </x:fill>
    <x:fill>
      <x:patternFill patternType="solid">
        <x:fgColor rgb="FFEAF4F5"/>
      </x:patternFill>
    </x:fill>
    <x:fill>
      <x:patternFill patternType="solid">
        <x:fgColor rgb="FFFFF0BD"/>
      </x:patternFill>
    </x:fill>
    <x:fill>
      <x:patternFill patternType="solid">
        <x:fgColor rgb="FFF3F6FB"/>
      </x:patternFill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0" fontId="5" fillId="6" borderId="0" xfId="0" applyNumberFormat="1" applyFont="1" applyFill="1" applyBorder="1"/>
    <x:xf numFmtId="201" fontId="5" fillId="0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1" xfId="0" applyNumberFormat="1" applyFont="1" applyFill="1" applyBorder="1"/>
    <x:xf numFmtId="200" fontId="5" fillId="6" borderId="1" xfId="0" applyNumberFormat="1" applyFont="1" applyFill="1" applyBorder="1"/>
    <x:xf numFmtId="201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2" fillId="7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4b201554147b8" /><Relationship Type="http://schemas.openxmlformats.org/officeDocument/2006/relationships/theme" Target="/xl/theme/theme1.xml" Id="R3fccfa082bf34cb4" /><Relationship Type="http://schemas.openxmlformats.org/officeDocument/2006/relationships/sharedStrings" Target="/xl/sharedStrings.xml" Id="R7a693bc6e5634083" /><Relationship Type="http://schemas.openxmlformats.org/officeDocument/2006/relationships/worksheet" Target="/xl/worksheets/sheet1.xml" Id="Rf159d62337ac4e56" /><Relationship Type="http://schemas.openxmlformats.org/officeDocument/2006/relationships/worksheet" Target="/xl/worksheets/sheet2.xml" Id="R49c4366e4f9b4641" /><Relationship Type="http://schemas.openxmlformats.org/officeDocument/2006/relationships/worksheet" Target="/xl/worksheets/sheet3.xml" Id="R725aa2074108429b" /><Relationship Type="http://schemas.openxmlformats.org/officeDocument/2006/relationships/worksheet" Target="/xl/worksheets/sheet4.xml" Id="Rba1e4de4d9144e34" /><Relationship Type="http://schemas.openxmlformats.org/officeDocument/2006/relationships/worksheet" Target="/xl/worksheets/sheet5.xml" Id="Rc720550b247f4a74" /><Relationship Type="http://schemas.openxmlformats.org/officeDocument/2006/relationships/worksheet" Target="/xl/worksheets/sheet6.xml" Id="Rd5b9f49c94c74b4e" /><Relationship Type="http://schemas.openxmlformats.org/officeDocument/2006/relationships/worksheet" Target="/xl/worksheets/sheet7.xml" Id="R0b6d3d86fa6347d0" /><Relationship Type="http://schemas.openxmlformats.org/officeDocument/2006/relationships/worksheet" Target="/xl/worksheets/sheet8.xml" Id="R3be9eab9b5c9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66" hidden="0" customWidth="1"/>
    <x:col min="3" max="3" width="70" hidden="0" customWidth="1"/>
  </x:cols>
  <x:sheetData>
    <x:row r="1" ht="35" customHeight="1">
      <x:c r="A1" s="4" t="str">
        <x:v>CONTRACTOR JOB PROFIT TOOLKIT  |  V1.0</x:v>
      </x:c>
      <x:c r="B1" s="4"/>
      <x:c r="C1" s="4"/>
    </x:row>
    <x:row r="3" ht="27" customHeight="1">
      <x:c r="A3" s="10" t="str">
        <x:v>STEP</x:v>
      </x:c>
      <x:c r="B3" s="10" t="str">
        <x:v>WHAT TO DO</x:v>
      </x:c>
      <x:c r="C3" s="10" t="str">
        <x:v>IMPORTANT DETAIL</x:v>
      </x:c>
    </x:row>
    <x:row r="4" ht="37" customHeight="1">
      <x:c r="A4" s="15" t="str">
        <x:v>01</x:v>
      </x:c>
      <x:c r="B4" s="18" t="str">
        <x:v>Enter project name, overhead budget and contingency on Project Setup.</x:v>
      </x:c>
      <x:c r="C4" s="18" t="str">
        <x:v>All demo numbers are fictional and must be replaced.</x:v>
      </x:c>
    </x:row>
    <x:row r="5" ht="37" customHeight="1">
      <x:c r="A5" s="15" t="str">
        <x:v>02</x:v>
      </x:c>
      <x:c r="B5" s="18" t="str">
        <x:v>Build your base quote in Estimate with quantities, costs and markups.</x:v>
      </x:c>
      <x:c r="C5" s="18" t="str">
        <x:v>Markup is a percentage of COST, not sales margin.</x:v>
      </x:c>
    </x:row>
    <x:row r="6" ht="37" customHeight="1">
      <x:c r="A6" s="15" t="str">
        <x:v>03</x:v>
      </x:c>
      <x:c r="B6" s="18" t="str">
        <x:v>Log every real expense ONCE in Actual Costs.</x:v>
      </x:c>
      <x:c r="C6" s="18" t="str">
        <x:v>Include approved change-order expenses here; do not separately add change-order estimated costs to actuals.</x:v>
      </x:c>
    </x:row>
    <x:row r="7" ht="37" customHeight="1">
      <x:c r="A7" s="15" t="str">
        <x:v>04</x:v>
      </x:c>
      <x:c r="B7" s="18" t="str">
        <x:v>Track changes in Change Orders and mark their actual status.</x:v>
      </x:c>
      <x:c r="C7" s="18" t="str">
        <x:v>Only Approved changes increase contracted revenue.</x:v>
      </x:c>
    </x:row>
    <x:row r="8" ht="37" customHeight="1">
      <x:c r="A8" s="15" t="str">
        <x:v>05</x:v>
      </x:c>
      <x:c r="B8" s="18" t="str">
        <x:v>Enter customer payments in Payments.</x:v>
      </x:c>
      <x:c r="C8" s="18" t="str">
        <x:v>Revenue contracted is not the same thing as money collected.</x:v>
      </x:c>
    </x:row>
    <x:row r="9" ht="37" customHeight="1">
      <x:c r="A9" s="15" t="str">
        <x:v>06</x:v>
      </x:c>
      <x:c r="B9" s="18" t="str">
        <x:v>Review Dashboard, especially actual margin and cash position.</x:v>
      </x:c>
      <x:c r="C9" s="18" t="str">
        <x:v>Actual profit is provisional until all costs, overhead and invoices are settled.</x:v>
      </x:c>
    </x:row>
    <x:row r="10" ht="37" customHeight="1">
      <x:c r="A10" s="15" t="str">
        <x:v>07</x:v>
      </x:c>
      <x:c r="B10" s="18" t="str">
        <x:v>Use USD; enter dates as real Excel dates.</x:v>
      </x:c>
      <x:c r="C10" s="18" t="str">
        <x:v>Do not type symbols or text into numeric amount columns.</x:v>
      </x:c>
    </x:row>
    <x:row r="11" ht="37" customHeight="1">
      <x:c r="A11" s="15" t="str">
        <x:v>08</x:v>
      </x:c>
      <x:c r="B11" s="18" t="str">
        <x:v>Duplicate this workbook per project.</x:v>
      </x:c>
      <x:c r="C11" s="18" t="str">
        <x:v>This version tracks a SINGLE job, not a multi-project business.</x:v>
      </x:c>
    </x:row>
    <x:row r="12" ht="37" customHeight="1">
      <x:c r="A12" s="15" t="str">
        <x:v>09</x:v>
      </x:c>
      <x:c r="B12" s="18" t="str">
        <x:v>Check unusual expense classifications and pending changes.</x:v>
      </x:c>
      <x:c r="C12" s="18" t="str">
        <x:v>Spreadsheet is a management aid, not tax, legal, accounting or certified estimating advice.</x:v>
      </x:c>
    </x:row>
    <x:row r="13" ht="37" customHeight="1">
      <x:c r="A13" s="15" t="str">
        <x:v>10</x:v>
      </x:c>
      <x:c r="B13" s="18" t="str">
        <x:v>Store your files securely and back up regularly.</x:v>
      </x:c>
      <x:c r="C13" s="18" t="str">
        <x:v>No macros, accounts, uploads or external API connections are required.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66" hidden="0" customWidth="1"/>
  </x:cols>
  <x:sheetData>
    <x:row r="1" ht="35" customHeight="1">
      <x:c r="A1" s="4" t="str">
        <x:v>PROJECT SETUP  |  EDIT BLUE CELLS</x:v>
      </x:c>
      <x:c r="B1" s="4"/>
      <x:c r="C1" s="4"/>
    </x:row>
    <x:row r="3" ht="27" customHeight="1">
      <x:c r="A3" s="10" t="str">
        <x:v>FIELD</x:v>
      </x:c>
      <x:c r="B3" s="10" t="str">
        <x:v>VALUE</x:v>
      </x:c>
      <x:c r="C3" s="10" t="str">
        <x:v>NOTES</x:v>
      </x:c>
    </x:row>
    <x:row r="4">
      <x:c r="A4" t="str">
        <x:v>Project name</x:v>
      </x:c>
      <x:c r="B4" s="26" t="str">
        <x:v>Sample: Electrical Fit-Out</x:v>
      </x:c>
      <x:c r="C4" t="str">
        <x:v>Replace before production use</x:v>
      </x:c>
    </x:row>
    <x:row r="5">
      <x:c r="A5" t="str">
        <x:v>Client name</x:v>
      </x:c>
      <x:c r="B5" s="26" t="str">
        <x:v>Sample Customer</x:v>
      </x:c>
      <x:c r="C5" t="str">
        <x:v>Replace with your client</x:v>
      </x:c>
    </x:row>
    <x:row r="6">
      <x:c r="A6" t="str">
        <x:v>Project ID</x:v>
      </x:c>
      <x:c r="B6" s="26" t="str">
        <x:v>DEMO-001</x:v>
      </x:c>
      <x:c r="C6" t="str">
        <x:v>One project per workbook</x:v>
      </x:c>
    </x:row>
    <x:row r="7">
      <x:c r="A7" t="str">
        <x:v>Estimated direct overhead ($)</x:v>
      </x:c>
      <x:c r="B7" s="34" t="n">
        <x:v>650</x:v>
      </x:c>
      <x:c r="C7" t="str">
        <x:v>Project-attributable supervision, permits, overhead; not included in Estimate direct line items</x:v>
      </x:c>
    </x:row>
    <x:row r="8">
      <x:c r="A8" t="str">
        <x:v>Actual overhead incurred ($)</x:v>
      </x:c>
      <x:c r="B8" s="34" t="n">
        <x:v>0</x:v>
      </x:c>
      <x:c r="C8" t="str">
        <x:v>Enter project-attributable overhead already incurred; exclude amounts also logged under Actual Costs</x:v>
      </x:c>
    </x:row>
    <x:row r="9">
      <x:c r="A9" t="str">
        <x:v>Contingency rate</x:v>
      </x:c>
      <x:c r="B9" s="35" t="n">
        <x:v>0.05</x:v>
      </x:c>
      <x:c r="C9" t="str">
        <x:v>Contingency is a planning reserve; not income or an actual expense</x:v>
      </x:c>
    </x:row>
    <x:row r="10">
      <x:c r="A10" t="str">
        <x:v>Sales tax allowance ($)</x:v>
      </x:c>
      <x:c r="B10" s="34" t="n">
        <x:v>0</x:v>
      </x:c>
      <x:c r="C10" t="str">
        <x:v>Informational only; excluded from revenue and profit calculations</x:v>
      </x:c>
    </x:row>
    <x:row r="11">
      <x:c r="A11" t="str">
        <x:v>Notes</x:v>
      </x:c>
      <x:c r="B11" s="26" t="str">
        <x:v>Fictional demonstration data</x:v>
      </x:c>
      <x:c r="C11" t="str">
        <x:v>Use local applicable rules and your accountant</x:v>
      </x:c>
    </x:row>
    <x:row r="12">
      <x:c r="A12" t="str">
        <x:v>Reporting date</x:v>
      </x:c>
      <x:c r="B12" s="29" t="n">
        <x:v>46306</x:v>
      </x:c>
      <x:c r="C12" t="str">
        <x:v>As-of date used for illustrative tracking</x:v>
      </x:c>
    </x:row>
    <x:row r="13">
      <x:c r="A13" t="str">
        <x:v>Target margin</x:v>
      </x:c>
      <x:c r="B13" s="28" t="n">
        <x:v>0.2</x:v>
      </x:c>
      <x:c r="C13" t="str">
        <x:v>Desired gross margin benchmark after attributable overhead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5" hidden="0" customWidth="1"/>
    <x:col min="4" max="4" width="20" hidden="0" customWidth="1"/>
    <x:col min="5" max="5" width="20" hidden="0" customWidth="1"/>
    <x:col min="6" max="6" width="17" hidden="0" customWidth="1"/>
    <x:col min="7" max="7" width="21" hidden="0" customWidth="1"/>
    <x:col min="8" max="8" width="39" hidden="0" customWidth="1"/>
  </x:cols>
  <x:sheetData>
    <x:row r="1" ht="35" customHeight="1">
      <x:c r="A1" s="4" t="str">
        <x:v>BASE ESTIMATE  |  DIRECT LINE-ITEM COSTS</x:v>
      </x:c>
      <x:c r="B1" s="4"/>
      <x:c r="C1" s="4"/>
      <x:c r="D1" s="4"/>
      <x:c r="E1" s="4"/>
      <x:c r="F1" s="4"/>
      <x:c r="G1" s="4"/>
      <x:c r="H1" s="4"/>
    </x:row>
    <x:row r="3" ht="27" customHeight="1">
      <x:c r="A3" s="10" t="str">
        <x:v>LINE ITEM</x:v>
      </x:c>
      <x:c r="B3" s="10" t="str">
        <x:v>CATEGORY</x:v>
      </x:c>
      <x:c r="C3" s="10" t="str">
        <x:v>QUANTITY</x:v>
      </x:c>
      <x:c r="D3" s="10" t="str">
        <x:v>UNIT COST ($)</x:v>
      </x:c>
      <x:c r="E3" s="10" t="str">
        <x:v>DIRECT COST ($)</x:v>
      </x:c>
      <x:c r="F3" s="10" t="str">
        <x:v>MARKUP %</x:v>
      </x:c>
      <x:c r="G3" s="10" t="str">
        <x:v>SELL PRICE ($)</x:v>
      </x:c>
      <x:c r="H3" s="10" t="str">
        <x:v>NOTES</x:v>
      </x:c>
    </x:row>
    <x:row r="4" ht="20" customHeight="1">
      <x:c r="A4" s="26" t="str">
        <x:v>EMT conduit 3/4in</x:v>
      </x:c>
      <x:c r="B4" s="26" t="str">
        <x:v>Materials</x:v>
      </x:c>
      <x:c r="C4" s="26" t="n">
        <x:v>200</x:v>
      </x:c>
      <x:c r="D4" s="27" t="n">
        <x:v>1.85</x:v>
      </x:c>
      <x:c r="E4" s="38" t="n">
        <x:f>IF(OR(C4="",D4=""),"",C4*D4)</x:f>
        <x:v>370</x:v>
      </x:c>
      <x:c r="F4" s="28" t="n">
        <x:v>0.25</x:v>
      </x:c>
      <x:c r="G4" s="38" t="n">
        <x:f>IF(E4="","",E4*(1+IF(F4="",0,F4)))</x:f>
        <x:v>462.5</x:v>
      </x:c>
      <x:c r="H4" s="26" t="str">
        <x:v>Fictional demo</x:v>
      </x:c>
    </x:row>
    <x:row r="5" ht="20" customHeight="1">
      <x:c r="A5" s="26" t="str">
        <x:v>THHN conductors</x:v>
      </x:c>
      <x:c r="B5" s="26" t="str">
        <x:v>Materials</x:v>
      </x:c>
      <x:c r="C5" s="26" t="n">
        <x:v>650</x:v>
      </x:c>
      <x:c r="D5" s="27" t="n">
        <x:v>0.48</x:v>
      </x:c>
      <x:c r="E5" s="38" t="n">
        <x:f>IF(OR(C5="",D5=""),"",C5*D5)</x:f>
        <x:v>312</x:v>
      </x:c>
      <x:c r="F5" s="28" t="n">
        <x:v>0.25</x:v>
      </x:c>
      <x:c r="G5" s="38" t="n">
        <x:f>IF(E5="","",E5*(1+IF(F5="",0,F5)))</x:f>
        <x:v>390</x:v>
      </x:c>
      <x:c r="H5" s="26" t="str">
        <x:v>Fictional demo</x:v>
      </x:c>
    </x:row>
    <x:row r="6" ht="20" customHeight="1">
      <x:c r="A6" s="26" t="str">
        <x:v>Electrician labor</x:v>
      </x:c>
      <x:c r="B6" s="26" t="str">
        <x:v>Labor</x:v>
      </x:c>
      <x:c r="C6" s="26" t="n">
        <x:v>38</x:v>
      </x:c>
      <x:c r="D6" s="27" t="n">
        <x:v>52</x:v>
      </x:c>
      <x:c r="E6" s="38" t="n">
        <x:f>IF(OR(C6="",D6=""),"",C6*D6)</x:f>
        <x:v>1976</x:v>
      </x:c>
      <x:c r="F6" s="28" t="n">
        <x:v>0.35</x:v>
      </x:c>
      <x:c r="G6" s="38" t="n">
        <x:f>IF(E6="","",E6*(1+IF(F6="",0,F6)))</x:f>
        <x:v>2667.6000000000004</x:v>
      </x:c>
      <x:c r="H6" s="26" t="str">
        <x:v>Loaded cost assumption</x:v>
      </x:c>
    </x:row>
    <x:row r="7" ht="20" customHeight="1">
      <x:c r="A7" s="26" t="str">
        <x:v>Helper labor</x:v>
      </x:c>
      <x:c r="B7" s="26" t="str">
        <x:v>Labor</x:v>
      </x:c>
      <x:c r="C7" s="26" t="n">
        <x:v>22</x:v>
      </x:c>
      <x:c r="D7" s="27" t="n">
        <x:v>32</x:v>
      </x:c>
      <x:c r="E7" s="38" t="n">
        <x:f>IF(OR(C7="",D7=""),"",C7*D7)</x:f>
        <x:v>704</x:v>
      </x:c>
      <x:c r="F7" s="28" t="n">
        <x:v>0.35</x:v>
      </x:c>
      <x:c r="G7" s="38" t="n">
        <x:f>IF(E7="","",E7*(1+IF(F7="",0,F7)))</x:f>
        <x:v>950.4000000000001</x:v>
      </x:c>
      <x:c r="H7" s="26" t="str">
        <x:v>Loaded cost assumption</x:v>
      </x:c>
    </x:row>
    <x:row r="8" ht="20" customHeight="1">
      <x:c r="A8" s="26" t="str">
        <x:v>Equipment rental</x:v>
      </x:c>
      <x:c r="B8" s="26" t="str">
        <x:v>Equipment</x:v>
      </x:c>
      <x:c r="C8" s="26" t="n">
        <x:v>2</x:v>
      </x:c>
      <x:c r="D8" s="27" t="n">
        <x:v>175</x:v>
      </x:c>
      <x:c r="E8" s="38" t="n">
        <x:f>IF(OR(C8="",D8=""),"",C8*D8)</x:f>
        <x:v>350</x:v>
      </x:c>
      <x:c r="F8" s="28" t="n">
        <x:v>0.2</x:v>
      </x:c>
      <x:c r="G8" s="38" t="n">
        <x:f>IF(E8="","",E8*(1+IF(F8="",0,F8)))</x:f>
        <x:v>420</x:v>
      </x:c>
      <x:c r="H8" s="26" t="str">
        <x:v>Fictional demo</x:v>
      </x:c>
    </x:row>
    <x:row r="9" ht="20" customHeight="1">
      <x:c r="A9" s="26"/>
      <x:c r="B9" s="26"/>
      <x:c r="C9" s="26"/>
      <x:c r="D9" s="27"/>
      <x:c r="E9" s="38" t="str">
        <x:f>IF(OR(C9="",D9=""),"",C9*D9)</x:f>
      </x:c>
      <x:c r="F9" s="28"/>
      <x:c r="G9" s="38" t="str">
        <x:f>IF(E9="","",E9*(1+IF(F9="",0,F9)))</x:f>
      </x:c>
      <x:c r="H9" s="26"/>
    </x:row>
    <x:row r="10" ht="20" customHeight="1">
      <x:c r="A10" s="26"/>
      <x:c r="B10" s="26"/>
      <x:c r="C10" s="26"/>
      <x:c r="D10" s="27"/>
      <x:c r="E10" s="38" t="str">
        <x:f>IF(OR(C10="",D10=""),"",C10*D10)</x:f>
      </x:c>
      <x:c r="F10" s="28"/>
      <x:c r="G10" s="38" t="str">
        <x:f>IF(E10="","",E10*(1+IF(F10="",0,F10)))</x:f>
      </x:c>
      <x:c r="H10" s="26"/>
    </x:row>
    <x:row r="11" ht="20" customHeight="1">
      <x:c r="A11" s="26"/>
      <x:c r="B11" s="26"/>
      <x:c r="C11" s="26"/>
      <x:c r="D11" s="27"/>
      <x:c r="E11" s="38" t="str">
        <x:f>IF(OR(C11="",D11=""),"",C11*D11)</x:f>
      </x:c>
      <x:c r="F11" s="28"/>
      <x:c r="G11" s="38" t="str">
        <x:f>IF(E11="","",E11*(1+IF(F11="",0,F11)))</x:f>
      </x:c>
      <x:c r="H11" s="26"/>
    </x:row>
    <x:row r="12" ht="20" customHeight="1">
      <x:c r="A12" s="26"/>
      <x:c r="B12" s="26"/>
      <x:c r="C12" s="26"/>
      <x:c r="D12" s="27"/>
      <x:c r="E12" s="38" t="str">
        <x:f>IF(OR(C12="",D12=""),"",C12*D12)</x:f>
      </x:c>
      <x:c r="F12" s="28"/>
      <x:c r="G12" s="38" t="str">
        <x:f>IF(E12="","",E12*(1+IF(F12="",0,F12)))</x:f>
      </x:c>
      <x:c r="H12" s="26"/>
    </x:row>
    <x:row r="13" ht="20" customHeight="1">
      <x:c r="A13" s="26"/>
      <x:c r="B13" s="26"/>
      <x:c r="C13" s="26"/>
      <x:c r="D13" s="27"/>
      <x:c r="E13" s="38" t="str">
        <x:f>IF(OR(C13="",D13=""),"",C13*D13)</x:f>
      </x:c>
      <x:c r="F13" s="28"/>
      <x:c r="G13" s="38" t="str">
        <x:f>IF(E13="","",E13*(1+IF(F13="",0,F13)))</x:f>
      </x:c>
      <x:c r="H13" s="26"/>
    </x:row>
    <x:row r="14" ht="20" customHeight="1">
      <x:c r="A14" s="26"/>
      <x:c r="B14" s="26"/>
      <x:c r="C14" s="26"/>
      <x:c r="D14" s="27"/>
      <x:c r="E14" s="38" t="str">
        <x:f>IF(OR(C14="",D14=""),"",C14*D14)</x:f>
      </x:c>
      <x:c r="F14" s="28"/>
      <x:c r="G14" s="38" t="str">
        <x:f>IF(E14="","",E14*(1+IF(F14="",0,F14)))</x:f>
      </x:c>
      <x:c r="H14" s="26"/>
    </x:row>
    <x:row r="15" ht="20" customHeight="1">
      <x:c r="A15" s="26"/>
      <x:c r="B15" s="26"/>
      <x:c r="C15" s="26"/>
      <x:c r="D15" s="27"/>
      <x:c r="E15" s="38" t="str">
        <x:f>IF(OR(C15="",D15=""),"",C15*D15)</x:f>
      </x:c>
      <x:c r="F15" s="28"/>
      <x:c r="G15" s="38" t="str">
        <x:f>IF(E15="","",E15*(1+IF(F15="",0,F15)))</x:f>
      </x:c>
      <x:c r="H15" s="26"/>
    </x:row>
    <x:row r="16" ht="20" customHeight="1">
      <x:c r="A16" s="26"/>
      <x:c r="B16" s="26"/>
      <x:c r="C16" s="26"/>
      <x:c r="D16" s="27"/>
      <x:c r="E16" s="38" t="str">
        <x:f>IF(OR(C16="",D16=""),"",C16*D16)</x:f>
      </x:c>
      <x:c r="F16" s="28"/>
      <x:c r="G16" s="38" t="str">
        <x:f>IF(E16="","",E16*(1+IF(F16="",0,F16)))</x:f>
      </x:c>
      <x:c r="H16" s="26"/>
    </x:row>
    <x:row r="17" ht="20" customHeight="1">
      <x:c r="A17" s="26"/>
      <x:c r="B17" s="26"/>
      <x:c r="C17" s="26"/>
      <x:c r="D17" s="27"/>
      <x:c r="E17" s="38" t="str">
        <x:f>IF(OR(C17="",D17=""),"",C17*D17)</x:f>
      </x:c>
      <x:c r="F17" s="28"/>
      <x:c r="G17" s="38" t="str">
        <x:f>IF(E17="","",E17*(1+IF(F17="",0,F17)))</x:f>
      </x:c>
      <x:c r="H17" s="26"/>
    </x:row>
    <x:row r="18" ht="20" customHeight="1">
      <x:c r="A18" s="26"/>
      <x:c r="B18" s="26"/>
      <x:c r="C18" s="26"/>
      <x:c r="D18" s="27"/>
      <x:c r="E18" s="38" t="str">
        <x:f>IF(OR(C18="",D18=""),"",C18*D18)</x:f>
      </x:c>
      <x:c r="F18" s="28"/>
      <x:c r="G18" s="38" t="str">
        <x:f>IF(E18="","",E18*(1+IF(F18="",0,F18)))</x:f>
      </x:c>
      <x:c r="H18" s="26"/>
    </x:row>
    <x:row r="19" ht="20" customHeight="1">
      <x:c r="A19" s="26"/>
      <x:c r="B19" s="26"/>
      <x:c r="C19" s="26"/>
      <x:c r="D19" s="27"/>
      <x:c r="E19" s="38" t="str">
        <x:f>IF(OR(C19="",D19=""),"",C19*D19)</x:f>
      </x:c>
      <x:c r="F19" s="28"/>
      <x:c r="G19" s="38" t="str">
        <x:f>IF(E19="","",E19*(1+IF(F19="",0,F19)))</x:f>
      </x:c>
      <x:c r="H19" s="26"/>
    </x:row>
    <x:row r="20" ht="20" customHeight="1">
      <x:c r="A20" s="26"/>
      <x:c r="B20" s="26"/>
      <x:c r="C20" s="26"/>
      <x:c r="D20" s="27"/>
      <x:c r="E20" s="38" t="str">
        <x:f>IF(OR(C20="",D20=""),"",C20*D20)</x:f>
      </x:c>
      <x:c r="F20" s="28"/>
      <x:c r="G20" s="38" t="str">
        <x:f>IF(E20="","",E20*(1+IF(F20="",0,F20)))</x:f>
      </x:c>
      <x:c r="H20" s="26"/>
    </x:row>
    <x:row r="21" ht="20" customHeight="1">
      <x:c r="A21" s="26"/>
      <x:c r="B21" s="26"/>
      <x:c r="C21" s="26"/>
      <x:c r="D21" s="27"/>
      <x:c r="E21" s="38" t="str">
        <x:f>IF(OR(C21="",D21=""),"",C21*D21)</x:f>
      </x:c>
      <x:c r="F21" s="28"/>
      <x:c r="G21" s="38" t="str">
        <x:f>IF(E21="","",E21*(1+IF(F21="",0,F21)))</x:f>
      </x:c>
      <x:c r="H21" s="26"/>
    </x:row>
    <x:row r="22" ht="20" customHeight="1">
      <x:c r="A22" s="26"/>
      <x:c r="B22" s="26"/>
      <x:c r="C22" s="26"/>
      <x:c r="D22" s="27"/>
      <x:c r="E22" s="38" t="str">
        <x:f>IF(OR(C22="",D22=""),"",C22*D22)</x:f>
      </x:c>
      <x:c r="F22" s="28"/>
      <x:c r="G22" s="38" t="str">
        <x:f>IF(E22="","",E22*(1+IF(F22="",0,F22)))</x:f>
      </x:c>
      <x:c r="H22" s="26"/>
    </x:row>
    <x:row r="23" ht="20" customHeight="1">
      <x:c r="A23" s="26"/>
      <x:c r="B23" s="26"/>
      <x:c r="C23" s="26"/>
      <x:c r="D23" s="27"/>
      <x:c r="E23" s="38" t="str">
        <x:f>IF(OR(C23="",D23=""),"",C23*D23)</x:f>
      </x:c>
      <x:c r="F23" s="28"/>
      <x:c r="G23" s="38" t="str">
        <x:f>IF(E23="","",E23*(1+IF(F23="",0,F23)))</x:f>
      </x:c>
      <x:c r="H23" s="26"/>
    </x:row>
    <x:row r="24" ht="20" customHeight="1">
      <x:c r="A24" s="26"/>
      <x:c r="B24" s="26"/>
      <x:c r="C24" s="26"/>
      <x:c r="D24" s="27"/>
      <x:c r="E24" s="38" t="str">
        <x:f>IF(OR(C24="",D24=""),"",C24*D24)</x:f>
      </x:c>
      <x:c r="F24" s="28"/>
      <x:c r="G24" s="38" t="str">
        <x:f>IF(E24="","",E24*(1+IF(F24="",0,F24)))</x:f>
      </x:c>
      <x:c r="H24" s="26"/>
    </x:row>
    <x:row r="25" ht="20" customHeight="1">
      <x:c r="A25" s="26"/>
      <x:c r="B25" s="26"/>
      <x:c r="C25" s="26"/>
      <x:c r="D25" s="27"/>
      <x:c r="E25" s="38" t="str">
        <x:f>IF(OR(C25="",D25=""),"",C25*D25)</x:f>
      </x:c>
      <x:c r="F25" s="28"/>
      <x:c r="G25" s="38" t="str">
        <x:f>IF(E25="","",E25*(1+IF(F25="",0,F25)))</x:f>
      </x:c>
      <x:c r="H25" s="26"/>
    </x:row>
    <x:row r="26" ht="20" customHeight="1">
      <x:c r="A26" s="26"/>
      <x:c r="B26" s="26"/>
      <x:c r="C26" s="26"/>
      <x:c r="D26" s="27"/>
      <x:c r="E26" s="38" t="str">
        <x:f>IF(OR(C26="",D26=""),"",C26*D26)</x:f>
      </x:c>
      <x:c r="F26" s="28"/>
      <x:c r="G26" s="38" t="str">
        <x:f>IF(E26="","",E26*(1+IF(F26="",0,F26)))</x:f>
      </x:c>
      <x:c r="H26" s="26"/>
    </x:row>
    <x:row r="27" ht="20" customHeight="1">
      <x:c r="A27" s="26"/>
      <x:c r="B27" s="26"/>
      <x:c r="C27" s="26"/>
      <x:c r="D27" s="27"/>
      <x:c r="E27" s="38" t="str">
        <x:f>IF(OR(C27="",D27=""),"",C27*D27)</x:f>
      </x:c>
      <x:c r="F27" s="28"/>
      <x:c r="G27" s="38" t="str">
        <x:f>IF(E27="","",E27*(1+IF(F27="",0,F27)))</x:f>
      </x:c>
      <x:c r="H27" s="26"/>
    </x:row>
    <x:row r="28" ht="20" customHeight="1">
      <x:c r="A28" s="26"/>
      <x:c r="B28" s="26"/>
      <x:c r="C28" s="26"/>
      <x:c r="D28" s="27"/>
      <x:c r="E28" s="38" t="str">
        <x:f>IF(OR(C28="",D28=""),"",C28*D28)</x:f>
      </x:c>
      <x:c r="F28" s="28"/>
      <x:c r="G28" s="38" t="str">
        <x:f>IF(E28="","",E28*(1+IF(F28="",0,F28)))</x:f>
      </x:c>
      <x:c r="H28" s="26"/>
    </x:row>
    <x:row r="29" ht="20" customHeight="1">
      <x:c r="A29" s="26"/>
      <x:c r="B29" s="26"/>
      <x:c r="C29" s="26"/>
      <x:c r="D29" s="27"/>
      <x:c r="E29" s="38" t="str">
        <x:f>IF(OR(C29="",D29=""),"",C29*D29)</x:f>
      </x:c>
      <x:c r="F29" s="28"/>
      <x:c r="G29" s="38" t="str">
        <x:f>IF(E29="","",E29*(1+IF(F29="",0,F29)))</x:f>
      </x:c>
      <x:c r="H29" s="26"/>
    </x:row>
    <x:row r="30" ht="20" customHeight="1">
      <x:c r="A30" s="26"/>
      <x:c r="B30" s="26"/>
      <x:c r="C30" s="26"/>
      <x:c r="D30" s="27"/>
      <x:c r="E30" s="38" t="str">
        <x:f>IF(OR(C30="",D30=""),"",C30*D30)</x:f>
      </x:c>
      <x:c r="F30" s="28"/>
      <x:c r="G30" s="38" t="str">
        <x:f>IF(E30="","",E30*(1+IF(F30="",0,F30)))</x:f>
      </x:c>
      <x:c r="H30" s="26"/>
    </x:row>
    <x:row r="31" ht="20" customHeight="1">
      <x:c r="A31" s="26"/>
      <x:c r="B31" s="26"/>
      <x:c r="C31" s="26"/>
      <x:c r="D31" s="27"/>
      <x:c r="E31" s="38" t="str">
        <x:f>IF(OR(C31="",D31=""),"",C31*D31)</x:f>
      </x:c>
      <x:c r="F31" s="28"/>
      <x:c r="G31" s="38" t="str">
        <x:f>IF(E31="","",E31*(1+IF(F31="",0,F31)))</x:f>
      </x:c>
      <x:c r="H31" s="26"/>
    </x:row>
    <x:row r="32" ht="20" customHeight="1">
      <x:c r="A32" s="26"/>
      <x:c r="B32" s="26"/>
      <x:c r="C32" s="26"/>
      <x:c r="D32" s="27"/>
      <x:c r="E32" s="38" t="str">
        <x:f>IF(OR(C32="",D32=""),"",C32*D32)</x:f>
      </x:c>
      <x:c r="F32" s="28"/>
      <x:c r="G32" s="38" t="str">
        <x:f>IF(E32="","",E32*(1+IF(F32="",0,F32)))</x:f>
      </x:c>
      <x:c r="H32" s="26"/>
    </x:row>
    <x:row r="33" ht="20" customHeight="1">
      <x:c r="A33" s="26"/>
      <x:c r="B33" s="26"/>
      <x:c r="C33" s="26"/>
      <x:c r="D33" s="27"/>
      <x:c r="E33" s="38" t="str">
        <x:f>IF(OR(C33="",D33=""),"",C33*D33)</x:f>
      </x:c>
      <x:c r="F33" s="28"/>
      <x:c r="G33" s="38" t="str">
        <x:f>IF(E33="","",E33*(1+IF(F33="",0,F33)))</x:f>
      </x:c>
      <x:c r="H33" s="26"/>
    </x:row>
    <x:row r="34" ht="20" customHeight="1">
      <x:c r="A34" s="26"/>
      <x:c r="B34" s="26"/>
      <x:c r="C34" s="26"/>
      <x:c r="D34" s="27"/>
      <x:c r="E34" s="38" t="str">
        <x:f>IF(OR(C34="",D34=""),"",C34*D34)</x:f>
      </x:c>
      <x:c r="F34" s="28"/>
      <x:c r="G34" s="38" t="str">
        <x:f>IF(E34="","",E34*(1+IF(F34="",0,F34)))</x:f>
      </x:c>
      <x:c r="H34" s="26"/>
    </x:row>
    <x:row r="35" ht="20" customHeight="1">
      <x:c r="A35" s="26"/>
      <x:c r="B35" s="26"/>
      <x:c r="C35" s="26"/>
      <x:c r="D35" s="27"/>
      <x:c r="E35" s="38" t="str">
        <x:f>IF(OR(C35="",D35=""),"",C35*D35)</x:f>
      </x:c>
      <x:c r="F35" s="28"/>
      <x:c r="G35" s="38" t="str">
        <x:f>IF(E35="","",E35*(1+IF(F35="",0,F35)))</x:f>
      </x:c>
      <x:c r="H35" s="26"/>
    </x:row>
    <x:row r="36" ht="20" customHeight="1">
      <x:c r="A36" s="26"/>
      <x:c r="B36" s="26"/>
      <x:c r="C36" s="26"/>
      <x:c r="D36" s="27"/>
      <x:c r="E36" s="38" t="str">
        <x:f>IF(OR(C36="",D36=""),"",C36*D36)</x:f>
      </x:c>
      <x:c r="F36" s="28"/>
      <x:c r="G36" s="38" t="str">
        <x:f>IF(E36="","",E36*(1+IF(F36="",0,F36)))</x:f>
      </x:c>
      <x:c r="H36" s="26"/>
    </x:row>
    <x:row r="37" ht="20" customHeight="1">
      <x:c r="A37" s="26"/>
      <x:c r="B37" s="26"/>
      <x:c r="C37" s="26"/>
      <x:c r="D37" s="27"/>
      <x:c r="E37" s="38" t="str">
        <x:f>IF(OR(C37="",D37=""),"",C37*D37)</x:f>
      </x:c>
      <x:c r="F37" s="28"/>
      <x:c r="G37" s="38" t="str">
        <x:f>IF(E37="","",E37*(1+IF(F37="",0,F37)))</x:f>
      </x:c>
      <x:c r="H37" s="26"/>
    </x:row>
    <x:row r="38" ht="20" customHeight="1">
      <x:c r="A38" s="26"/>
      <x:c r="B38" s="26"/>
      <x:c r="C38" s="26"/>
      <x:c r="D38" s="27"/>
      <x:c r="E38" s="38" t="str">
        <x:f>IF(OR(C38="",D38=""),"",C38*D38)</x:f>
      </x:c>
      <x:c r="F38" s="28"/>
      <x:c r="G38" s="38" t="str">
        <x:f>IF(E38="","",E38*(1+IF(F38="",0,F38)))</x:f>
      </x:c>
      <x:c r="H38" s="26"/>
    </x:row>
    <x:row r="39" ht="20" customHeight="1">
      <x:c r="A39" s="26"/>
      <x:c r="B39" s="26"/>
      <x:c r="C39" s="26"/>
      <x:c r="D39" s="27"/>
      <x:c r="E39" s="38" t="str">
        <x:f>IF(OR(C39="",D39=""),"",C39*D39)</x:f>
      </x:c>
      <x:c r="F39" s="28"/>
      <x:c r="G39" s="38" t="str">
        <x:f>IF(E39="","",E39*(1+IF(F39="",0,F39)))</x:f>
      </x:c>
      <x:c r="H39" s="26"/>
    </x:row>
    <x:row r="40" ht="20" customHeight="1">
      <x:c r="A40" s="26"/>
      <x:c r="B40" s="26"/>
      <x:c r="C40" s="26"/>
      <x:c r="D40" s="27"/>
      <x:c r="E40" s="38" t="str">
        <x:f>IF(OR(C40="",D40=""),"",C40*D40)</x:f>
      </x:c>
      <x:c r="F40" s="28"/>
      <x:c r="G40" s="38" t="str">
        <x:f>IF(E40="","",E40*(1+IF(F40="",0,F40)))</x:f>
      </x:c>
      <x:c r="H40" s="26"/>
    </x:row>
    <x:row r="41" ht="20" customHeight="1">
      <x:c r="A41" s="26"/>
      <x:c r="B41" s="26"/>
      <x:c r="C41" s="26"/>
      <x:c r="D41" s="27"/>
      <x:c r="E41" s="38" t="str">
        <x:f>IF(OR(C41="",D41=""),"",C41*D41)</x:f>
      </x:c>
      <x:c r="F41" s="28"/>
      <x:c r="G41" s="38" t="str">
        <x:f>IF(E41="","",E41*(1+IF(F41="",0,F41)))</x:f>
      </x:c>
      <x:c r="H41" s="26"/>
    </x:row>
    <x:row r="42" ht="20" customHeight="1">
      <x:c r="A42" s="26"/>
      <x:c r="B42" s="26"/>
      <x:c r="C42" s="26"/>
      <x:c r="D42" s="27"/>
      <x:c r="E42" s="38" t="str">
        <x:f>IF(OR(C42="",D42=""),"",C42*D42)</x:f>
      </x:c>
      <x:c r="F42" s="28"/>
      <x:c r="G42" s="38" t="str">
        <x:f>IF(E42="","",E42*(1+IF(F42="",0,F42)))</x:f>
      </x:c>
      <x:c r="H42" s="26"/>
    </x:row>
    <x:row r="43" ht="20" customHeight="1">
      <x:c r="A43" s="26"/>
      <x:c r="B43" s="26"/>
      <x:c r="C43" s="26"/>
      <x:c r="D43" s="27"/>
      <x:c r="E43" s="38" t="str">
        <x:f>IF(OR(C43="",D43=""),"",C43*D43)</x:f>
      </x:c>
      <x:c r="F43" s="28"/>
      <x:c r="G43" s="38" t="str">
        <x:f>IF(E43="","",E43*(1+IF(F43="",0,F43)))</x:f>
      </x:c>
      <x:c r="H43" s="26"/>
    </x:row>
    <x:row r="44" ht="20" customHeight="1">
      <x:c r="A44" s="26"/>
      <x:c r="B44" s="26"/>
      <x:c r="C44" s="26"/>
      <x:c r="D44" s="27"/>
      <x:c r="E44" s="38" t="str">
        <x:f>IF(OR(C44="",D44=""),"",C44*D44)</x:f>
      </x:c>
      <x:c r="F44" s="28"/>
      <x:c r="G44" s="38" t="str">
        <x:f>IF(E44="","",E44*(1+IF(F44="",0,F44)))</x:f>
      </x:c>
      <x:c r="H44" s="26"/>
    </x:row>
    <x:row r="45" ht="20" customHeight="1">
      <x:c r="A45" s="26"/>
      <x:c r="B45" s="26"/>
      <x:c r="C45" s="26"/>
      <x:c r="D45" s="27"/>
      <x:c r="E45" s="38" t="str">
        <x:f>IF(OR(C45="",D45=""),"",C45*D45)</x:f>
      </x:c>
      <x:c r="F45" s="28"/>
      <x:c r="G45" s="38" t="str">
        <x:f>IF(E45="","",E45*(1+IF(F45="",0,F45)))</x:f>
      </x:c>
      <x:c r="H45" s="26"/>
    </x:row>
    <x:row r="46" ht="20" customHeight="1">
      <x:c r="A46" s="26"/>
      <x:c r="B46" s="26"/>
      <x:c r="C46" s="26"/>
      <x:c r="D46" s="27"/>
      <x:c r="E46" s="38" t="str">
        <x:f>IF(OR(C46="",D46=""),"",C46*D46)</x:f>
      </x:c>
      <x:c r="F46" s="28"/>
      <x:c r="G46" s="38" t="str">
        <x:f>IF(E46="","",E46*(1+IF(F46="",0,F46)))</x:f>
      </x:c>
      <x:c r="H46" s="26"/>
    </x:row>
    <x:row r="47" ht="20" customHeight="1">
      <x:c r="A47" s="26"/>
      <x:c r="B47" s="26"/>
      <x:c r="C47" s="26"/>
      <x:c r="D47" s="27"/>
      <x:c r="E47" s="38" t="str">
        <x:f>IF(OR(C47="",D47=""),"",C47*D47)</x:f>
      </x:c>
      <x:c r="F47" s="28"/>
      <x:c r="G47" s="38" t="str">
        <x:f>IF(E47="","",E47*(1+IF(F47="",0,F47)))</x:f>
      </x:c>
      <x:c r="H47" s="26"/>
    </x:row>
    <x:row r="48" ht="20" customHeight="1">
      <x:c r="A48" s="26"/>
      <x:c r="B48" s="26"/>
      <x:c r="C48" s="26"/>
      <x:c r="D48" s="27"/>
      <x:c r="E48" s="38" t="str">
        <x:f>IF(OR(C48="",D48=""),"",C48*D48)</x:f>
      </x:c>
      <x:c r="F48" s="28"/>
      <x:c r="G48" s="38" t="str">
        <x:f>IF(E48="","",E48*(1+IF(F48="",0,F48)))</x:f>
      </x:c>
      <x:c r="H48" s="26"/>
    </x:row>
    <x:row r="49" ht="20" customHeight="1">
      <x:c r="A49" s="26"/>
      <x:c r="B49" s="26"/>
      <x:c r="C49" s="26"/>
      <x:c r="D49" s="27"/>
      <x:c r="E49" s="38" t="str">
        <x:f>IF(OR(C49="",D49=""),"",C49*D49)</x:f>
      </x:c>
      <x:c r="F49" s="28"/>
      <x:c r="G49" s="38" t="str">
        <x:f>IF(E49="","",E49*(1+IF(F49="",0,F49)))</x:f>
      </x:c>
      <x:c r="H49" s="26"/>
    </x:row>
    <x:row r="50" ht="20" customHeight="1">
      <x:c r="A50" s="26"/>
      <x:c r="B50" s="26"/>
      <x:c r="C50" s="26"/>
      <x:c r="D50" s="27"/>
      <x:c r="E50" s="38" t="str">
        <x:f>IF(OR(C50="",D50=""),"",C50*D50)</x:f>
      </x:c>
      <x:c r="F50" s="28"/>
      <x:c r="G50" s="38" t="str">
        <x:f>IF(E50="","",E50*(1+IF(F50="",0,F50)))</x:f>
      </x:c>
      <x:c r="H50" s="26"/>
    </x:row>
    <x:row r="51" ht="20" customHeight="1">
      <x:c r="A51" s="26"/>
      <x:c r="B51" s="26"/>
      <x:c r="C51" s="26"/>
      <x:c r="D51" s="27"/>
      <x:c r="E51" s="38" t="str">
        <x:f>IF(OR(C51="",D51=""),"",C51*D51)</x:f>
      </x:c>
      <x:c r="F51" s="28"/>
      <x:c r="G51" s="38" t="str">
        <x:f>IF(E51="","",E51*(1+IF(F51="",0,F51)))</x:f>
      </x:c>
      <x:c r="H51" s="26"/>
    </x:row>
    <x:row r="52" ht="20" customHeight="1">
      <x:c r="A52" s="26"/>
      <x:c r="B52" s="26"/>
      <x:c r="C52" s="26"/>
      <x:c r="D52" s="27"/>
      <x:c r="E52" s="38" t="str">
        <x:f>IF(OR(C52="",D52=""),"",C52*D52)</x:f>
      </x:c>
      <x:c r="F52" s="28"/>
      <x:c r="G52" s="38" t="str">
        <x:f>IF(E52="","",E52*(1+IF(F52="",0,F52)))</x:f>
      </x:c>
      <x:c r="H52" s="26"/>
    </x:row>
    <x:row r="53" ht="20" customHeight="1">
      <x:c r="A53" s="26"/>
      <x:c r="B53" s="26"/>
      <x:c r="C53" s="26"/>
      <x:c r="D53" s="27"/>
      <x:c r="E53" s="38" t="str">
        <x:f>IF(OR(C53="",D53=""),"",C53*D53)</x:f>
      </x:c>
      <x:c r="F53" s="28"/>
      <x:c r="G53" s="38" t="str">
        <x:f>IF(E53="","",E53*(1+IF(F53="",0,F53)))</x:f>
      </x:c>
      <x:c r="H53" s="26"/>
    </x:row>
    <x:row r="54" ht="20" customHeight="1">
      <x:c r="A54" s="26"/>
      <x:c r="B54" s="26"/>
      <x:c r="C54" s="26"/>
      <x:c r="D54" s="27"/>
      <x:c r="E54" s="38" t="str">
        <x:f>IF(OR(C54="",D54=""),"",C54*D54)</x:f>
      </x:c>
      <x:c r="F54" s="28"/>
      <x:c r="G54" s="38" t="str">
        <x:f>IF(E54="","",E54*(1+IF(F54="",0,F54)))</x:f>
      </x:c>
      <x:c r="H54" s="26"/>
    </x:row>
    <x:row r="55" ht="20" customHeight="1">
      <x:c r="A55" s="26"/>
      <x:c r="B55" s="26"/>
      <x:c r="C55" s="26"/>
      <x:c r="D55" s="27"/>
      <x:c r="E55" s="38" t="str">
        <x:f>IF(OR(C55="",D55=""),"",C55*D55)</x:f>
      </x:c>
      <x:c r="F55" s="28"/>
      <x:c r="G55" s="38" t="str">
        <x:f>IF(E55="","",E55*(1+IF(F55="",0,F55)))</x:f>
      </x:c>
      <x:c r="H55" s="26"/>
    </x:row>
    <x:row r="56" ht="20" customHeight="1">
      <x:c r="A56" s="26"/>
      <x:c r="B56" s="26"/>
      <x:c r="C56" s="26"/>
      <x:c r="D56" s="27"/>
      <x:c r="E56" s="38" t="str">
        <x:f>IF(OR(C56="",D56=""),"",C56*D56)</x:f>
      </x:c>
      <x:c r="F56" s="28"/>
      <x:c r="G56" s="38" t="str">
        <x:f>IF(E56="","",E56*(1+IF(F56="",0,F56)))</x:f>
      </x:c>
      <x:c r="H56" s="26"/>
    </x:row>
    <x:row r="57" ht="20" customHeight="1">
      <x:c r="A57" s="26"/>
      <x:c r="B57" s="26"/>
      <x:c r="C57" s="26"/>
      <x:c r="D57" s="27"/>
      <x:c r="E57" s="38" t="str">
        <x:f>IF(OR(C57="",D57=""),"",C57*D57)</x:f>
      </x:c>
      <x:c r="F57" s="28"/>
      <x:c r="G57" s="38" t="str">
        <x:f>IF(E57="","",E57*(1+IF(F57="",0,F57)))</x:f>
      </x:c>
      <x:c r="H57" s="26"/>
    </x:row>
    <x:row r="58" ht="20" customHeight="1">
      <x:c r="A58" s="26"/>
      <x:c r="B58" s="26"/>
      <x:c r="C58" s="26"/>
      <x:c r="D58" s="27"/>
      <x:c r="E58" s="38" t="str">
        <x:f>IF(OR(C58="",D58=""),"",C58*D58)</x:f>
      </x:c>
      <x:c r="F58" s="28"/>
      <x:c r="G58" s="38" t="str">
        <x:f>IF(E58="","",E58*(1+IF(F58="",0,F58)))</x:f>
      </x:c>
      <x:c r="H58" s="26"/>
    </x:row>
    <x:row r="59" ht="20" customHeight="1">
      <x:c r="A59" s="26"/>
      <x:c r="B59" s="26"/>
      <x:c r="C59" s="26"/>
      <x:c r="D59" s="27"/>
      <x:c r="E59" s="38" t="str">
        <x:f>IF(OR(C59="",D59=""),"",C59*D59)</x:f>
      </x:c>
      <x:c r="F59" s="28"/>
      <x:c r="G59" s="38" t="str">
        <x:f>IF(E59="","",E59*(1+IF(F59="",0,F59)))</x:f>
      </x:c>
      <x:c r="H59" s="26"/>
    </x:row>
    <x:row r="60" ht="20" customHeight="1">
      <x:c r="A60" s="26"/>
      <x:c r="B60" s="26"/>
      <x:c r="C60" s="26"/>
      <x:c r="D60" s="27"/>
      <x:c r="E60" s="38" t="str">
        <x:f>IF(OR(C60="",D60=""),"",C60*D60)</x:f>
      </x:c>
      <x:c r="F60" s="28"/>
      <x:c r="G60" s="38" t="str">
        <x:f>IF(E60="","",E60*(1+IF(F60="",0,F60)))</x:f>
      </x:c>
      <x:c r="H60" s="26"/>
    </x:row>
    <x:row r="61" ht="20" customHeight="1">
      <x:c r="A61" s="26"/>
      <x:c r="B61" s="26"/>
      <x:c r="C61" s="26"/>
      <x:c r="D61" s="27"/>
      <x:c r="E61" s="38" t="str">
        <x:f>IF(OR(C61="",D61=""),"",C61*D61)</x:f>
      </x:c>
      <x:c r="F61" s="28"/>
      <x:c r="G61" s="38" t="str">
        <x:f>IF(E61="","",E61*(1+IF(F61="",0,F61)))</x:f>
      </x:c>
      <x:c r="H61" s="26"/>
    </x:row>
    <x:row r="62" ht="20" customHeight="1">
      <x:c r="A62" s="26"/>
      <x:c r="B62" s="26"/>
      <x:c r="C62" s="26"/>
      <x:c r="D62" s="27"/>
      <x:c r="E62" s="38" t="str">
        <x:f>IF(OR(C62="",D62=""),"",C62*D62)</x:f>
      </x:c>
      <x:c r="F62" s="28"/>
      <x:c r="G62" s="38" t="str">
        <x:f>IF(E62="","",E62*(1+IF(F62="",0,F62)))</x:f>
      </x:c>
      <x:c r="H62" s="26"/>
    </x:row>
    <x:row r="63" ht="20" customHeight="1">
      <x:c r="A63" s="26"/>
      <x:c r="B63" s="26"/>
      <x:c r="C63" s="26"/>
      <x:c r="D63" s="27"/>
      <x:c r="E63" s="38" t="str">
        <x:f>IF(OR(C63="",D63=""),"",C63*D63)</x:f>
      </x:c>
      <x:c r="F63" s="28"/>
      <x:c r="G63" s="38" t="str">
        <x:f>IF(E63="","",E63*(1+IF(F63="",0,F63)))</x:f>
      </x:c>
      <x:c r="H63" s="26"/>
    </x:row>
    <x:row r="64" ht="20" customHeight="1">
      <x:c r="A64" s="26"/>
      <x:c r="B64" s="26"/>
      <x:c r="C64" s="26"/>
      <x:c r="D64" s="27"/>
      <x:c r="E64" s="38" t="str">
        <x:f>IF(OR(C64="",D64=""),"",C64*D64)</x:f>
      </x:c>
      <x:c r="F64" s="28"/>
      <x:c r="G64" s="38" t="str">
        <x:f>IF(E64="","",E64*(1+IF(F64="",0,F64)))</x:f>
      </x:c>
      <x:c r="H64" s="26"/>
    </x:row>
    <x:row r="65" ht="20" customHeight="1">
      <x:c r="A65" s="26"/>
      <x:c r="B65" s="26"/>
      <x:c r="C65" s="26"/>
      <x:c r="D65" s="27"/>
      <x:c r="E65" s="38" t="str">
        <x:f>IF(OR(C65="",D65=""),"",C65*D65)</x:f>
      </x:c>
      <x:c r="F65" s="28"/>
      <x:c r="G65" s="38" t="str">
        <x:f>IF(E65="","",E65*(1+IF(F65="",0,F65)))</x:f>
      </x:c>
      <x:c r="H65" s="26"/>
    </x:row>
    <x:row r="66" ht="20" customHeight="1">
      <x:c r="A66" s="26"/>
      <x:c r="B66" s="26"/>
      <x:c r="C66" s="26"/>
      <x:c r="D66" s="27"/>
      <x:c r="E66" s="38" t="str">
        <x:f>IF(OR(C66="",D66=""),"",C66*D66)</x:f>
      </x:c>
      <x:c r="F66" s="28"/>
      <x:c r="G66" s="38" t="str">
        <x:f>IF(E66="","",E66*(1+IF(F66="",0,F66)))</x:f>
      </x:c>
      <x:c r="H66" s="26"/>
    </x:row>
    <x:row r="67" ht="20" customHeight="1">
      <x:c r="A67" s="26"/>
      <x:c r="B67" s="26"/>
      <x:c r="C67" s="26"/>
      <x:c r="D67" s="27"/>
      <x:c r="E67" s="38" t="str">
        <x:f>IF(OR(C67="",D67=""),"",C67*D67)</x:f>
      </x:c>
      <x:c r="F67" s="28"/>
      <x:c r="G67" s="38" t="str">
        <x:f>IF(E67="","",E67*(1+IF(F67="",0,F67)))</x:f>
      </x:c>
      <x:c r="H67" s="26"/>
    </x:row>
    <x:row r="68" ht="20" customHeight="1">
      <x:c r="A68" s="26"/>
      <x:c r="B68" s="26"/>
      <x:c r="C68" s="26"/>
      <x:c r="D68" s="27"/>
      <x:c r="E68" s="38" t="str">
        <x:f>IF(OR(C68="",D68=""),"",C68*D68)</x:f>
      </x:c>
      <x:c r="F68" s="28"/>
      <x:c r="G68" s="38" t="str">
        <x:f>IF(E68="","",E68*(1+IF(F68="",0,F68)))</x:f>
      </x:c>
      <x:c r="H68" s="26"/>
    </x:row>
    <x:row r="69" ht="20" customHeight="1">
      <x:c r="A69" s="26"/>
      <x:c r="B69" s="26"/>
      <x:c r="C69" s="26"/>
      <x:c r="D69" s="27"/>
      <x:c r="E69" s="38" t="str">
        <x:f>IF(OR(C69="",D69=""),"",C69*D69)</x:f>
      </x:c>
      <x:c r="F69" s="28"/>
      <x:c r="G69" s="38" t="str">
        <x:f>IF(E69="","",E69*(1+IF(F69="",0,F69)))</x:f>
      </x:c>
      <x:c r="H69" s="26"/>
    </x:row>
    <x:row r="70" ht="20" customHeight="1">
      <x:c r="A70" s="26"/>
      <x:c r="B70" s="26"/>
      <x:c r="C70" s="26"/>
      <x:c r="D70" s="27"/>
      <x:c r="E70" s="38" t="str">
        <x:f>IF(OR(C70="",D70=""),"",C70*D70)</x:f>
      </x:c>
      <x:c r="F70" s="28"/>
      <x:c r="G70" s="38" t="str">
        <x:f>IF(E70="","",E70*(1+IF(F70="",0,F70)))</x:f>
      </x:c>
      <x:c r="H70" s="26"/>
    </x:row>
    <x:row r="71" ht="20" customHeight="1">
      <x:c r="A71" s="26"/>
      <x:c r="B71" s="26"/>
      <x:c r="C71" s="26"/>
      <x:c r="D71" s="27"/>
      <x:c r="E71" s="38" t="str">
        <x:f>IF(OR(C71="",D71=""),"",C71*D71)</x:f>
      </x:c>
      <x:c r="F71" s="28"/>
      <x:c r="G71" s="38" t="str">
        <x:f>IF(E71="","",E71*(1+IF(F71="",0,F71)))</x:f>
      </x:c>
      <x:c r="H71" s="26"/>
    </x:row>
    <x:row r="72" ht="20" customHeight="1">
      <x:c r="A72" s="26"/>
      <x:c r="B72" s="26"/>
      <x:c r="C72" s="26"/>
      <x:c r="D72" s="27"/>
      <x:c r="E72" s="38" t="str">
        <x:f>IF(OR(C72="",D72=""),"",C72*D72)</x:f>
      </x:c>
      <x:c r="F72" s="28"/>
      <x:c r="G72" s="38" t="str">
        <x:f>IF(E72="","",E72*(1+IF(F72="",0,F72)))</x:f>
      </x:c>
      <x:c r="H72" s="26"/>
    </x:row>
    <x:row r="73" ht="20" customHeight="1">
      <x:c r="A73" s="26"/>
      <x:c r="B73" s="26"/>
      <x:c r="C73" s="26"/>
      <x:c r="D73" s="27"/>
      <x:c r="E73" s="38" t="str">
        <x:f>IF(OR(C73="",D73=""),"",C73*D73)</x:f>
      </x:c>
      <x:c r="F73" s="28"/>
      <x:c r="G73" s="38" t="str">
        <x:f>IF(E73="","",E73*(1+IF(F73="",0,F73)))</x:f>
      </x:c>
      <x:c r="H73" s="26"/>
    </x:row>
    <x:row r="74" ht="20" customHeight="1">
      <x:c r="A74" s="26"/>
      <x:c r="B74" s="26"/>
      <x:c r="C74" s="26"/>
      <x:c r="D74" s="27"/>
      <x:c r="E74" s="38" t="str">
        <x:f>IF(OR(C74="",D74=""),"",C74*D74)</x:f>
      </x:c>
      <x:c r="F74" s="28"/>
      <x:c r="G74" s="38" t="str">
        <x:f>IF(E74="","",E74*(1+IF(F74="",0,F74)))</x:f>
      </x:c>
      <x:c r="H74" s="26"/>
    </x:row>
    <x:row r="75" ht="20" customHeight="1">
      <x:c r="A75" s="26"/>
      <x:c r="B75" s="26"/>
      <x:c r="C75" s="26"/>
      <x:c r="D75" s="27"/>
      <x:c r="E75" s="38" t="str">
        <x:f>IF(OR(C75="",D75=""),"",C75*D75)</x:f>
      </x:c>
      <x:c r="F75" s="28"/>
      <x:c r="G75" s="38" t="str">
        <x:f>IF(E75="","",E75*(1+IF(F75="",0,F75)))</x:f>
      </x:c>
      <x:c r="H75" s="26"/>
    </x:row>
    <x:row r="76" ht="20" customHeight="1">
      <x:c r="A76" s="26"/>
      <x:c r="B76" s="26"/>
      <x:c r="C76" s="26"/>
      <x:c r="D76" s="27"/>
      <x:c r="E76" s="38" t="str">
        <x:f>IF(OR(C76="",D76=""),"",C76*D76)</x:f>
      </x:c>
      <x:c r="F76" s="28"/>
      <x:c r="G76" s="38" t="str">
        <x:f>IF(E76="","",E76*(1+IF(F76="",0,F76)))</x:f>
      </x:c>
      <x:c r="H76" s="26"/>
    </x:row>
    <x:row r="77" ht="20" customHeight="1">
      <x:c r="A77" s="26"/>
      <x:c r="B77" s="26"/>
      <x:c r="C77" s="26"/>
      <x:c r="D77" s="27"/>
      <x:c r="E77" s="38" t="str">
        <x:f>IF(OR(C77="",D77=""),"",C77*D77)</x:f>
      </x:c>
      <x:c r="F77" s="28"/>
      <x:c r="G77" s="38" t="str">
        <x:f>IF(E77="","",E77*(1+IF(F77="",0,F77)))</x:f>
      </x:c>
      <x:c r="H77" s="26"/>
    </x:row>
    <x:row r="78" ht="20" customHeight="1">
      <x:c r="A78" s="26"/>
      <x:c r="B78" s="26"/>
      <x:c r="C78" s="26"/>
      <x:c r="D78" s="27"/>
      <x:c r="E78" s="38" t="str">
        <x:f>IF(OR(C78="",D78=""),"",C78*D78)</x:f>
      </x:c>
      <x:c r="F78" s="28"/>
      <x:c r="G78" s="38" t="str">
        <x:f>IF(E78="","",E78*(1+IF(F78="",0,F78)))</x:f>
      </x:c>
      <x:c r="H78" s="26"/>
    </x:row>
    <x:row r="79" ht="20" customHeight="1">
      <x:c r="A79" s="26"/>
      <x:c r="B79" s="26"/>
      <x:c r="C79" s="26"/>
      <x:c r="D79" s="27"/>
      <x:c r="E79" s="38" t="str">
        <x:f>IF(OR(C79="",D79=""),"",C79*D79)</x:f>
      </x:c>
      <x:c r="F79" s="28"/>
      <x:c r="G79" s="38" t="str">
        <x:f>IF(E79="","",E79*(1+IF(F79="",0,F79)))</x:f>
      </x:c>
      <x:c r="H79" s="26"/>
    </x:row>
    <x:row r="80" ht="20" customHeight="1">
      <x:c r="A80" s="26"/>
      <x:c r="B80" s="26"/>
      <x:c r="C80" s="26"/>
      <x:c r="D80" s="27"/>
      <x:c r="E80" s="38" t="str">
        <x:f>IF(OR(C80="",D80=""),"",C80*D80)</x:f>
      </x:c>
      <x:c r="F80" s="28"/>
      <x:c r="G80" s="38" t="str">
        <x:f>IF(E80="","",E80*(1+IF(F80="",0,F80)))</x:f>
      </x:c>
      <x:c r="H80" s="26"/>
    </x:row>
    <x:row r="81" ht="20" customHeight="1">
      <x:c r="A81" s="26"/>
      <x:c r="B81" s="26"/>
      <x:c r="C81" s="26"/>
      <x:c r="D81" s="27"/>
      <x:c r="E81" s="38" t="str">
        <x:f>IF(OR(C81="",D81=""),"",C81*D81)</x:f>
      </x:c>
      <x:c r="F81" s="28"/>
      <x:c r="G81" s="38" t="str">
        <x:f>IF(E81="","",E81*(1+IF(F81="",0,F81)))</x:f>
      </x:c>
      <x:c r="H81" s="26"/>
    </x:row>
    <x:row r="82" ht="20" customHeight="1">
      <x:c r="A82" s="26"/>
      <x:c r="B82" s="26"/>
      <x:c r="C82" s="26"/>
      <x:c r="D82" s="27"/>
      <x:c r="E82" s="38" t="str">
        <x:f>IF(OR(C82="",D82=""),"",C82*D82)</x:f>
      </x:c>
      <x:c r="F82" s="28"/>
      <x:c r="G82" s="38" t="str">
        <x:f>IF(E82="","",E82*(1+IF(F82="",0,F82)))</x:f>
      </x:c>
      <x:c r="H82" s="26"/>
    </x:row>
    <x:row r="83" ht="20" customHeight="1">
      <x:c r="A83" s="26"/>
      <x:c r="B83" s="26"/>
      <x:c r="C83" s="26"/>
      <x:c r="D83" s="27"/>
      <x:c r="E83" s="38" t="str">
        <x:f>IF(OR(C83="",D83=""),"",C83*D83)</x:f>
      </x:c>
      <x:c r="F83" s="28"/>
      <x:c r="G83" s="38" t="str">
        <x:f>IF(E83="","",E83*(1+IF(F83="",0,F83)))</x:f>
      </x:c>
      <x:c r="H83" s="26"/>
    </x:row>
    <x:row r="84" ht="20" customHeight="1">
      <x:c r="A84" s="26"/>
      <x:c r="B84" s="26"/>
      <x:c r="C84" s="26"/>
      <x:c r="D84" s="27"/>
      <x:c r="E84" s="38" t="str">
        <x:f>IF(OR(C84="",D84=""),"",C84*D84)</x:f>
      </x:c>
      <x:c r="F84" s="28"/>
      <x:c r="G84" s="38" t="str">
        <x:f>IF(E84="","",E84*(1+IF(F84="",0,F84)))</x:f>
      </x:c>
      <x:c r="H84" s="26"/>
    </x:row>
    <x:row r="85" ht="20" customHeight="1">
      <x:c r="A85" s="26"/>
      <x:c r="B85" s="26"/>
      <x:c r="C85" s="26"/>
      <x:c r="D85" s="27"/>
      <x:c r="E85" s="38" t="str">
        <x:f>IF(OR(C85="",D85=""),"",C85*D85)</x:f>
      </x:c>
      <x:c r="F85" s="28"/>
      <x:c r="G85" s="38" t="str">
        <x:f>IF(E85="","",E85*(1+IF(F85="",0,F85)))</x:f>
      </x:c>
      <x:c r="H85" s="26"/>
    </x:row>
    <x:row r="86" ht="20" customHeight="1">
      <x:c r="A86" s="26"/>
      <x:c r="B86" s="26"/>
      <x:c r="C86" s="26"/>
      <x:c r="D86" s="27"/>
      <x:c r="E86" s="38" t="str">
        <x:f>IF(OR(C86="",D86=""),"",C86*D86)</x:f>
      </x:c>
      <x:c r="F86" s="28"/>
      <x:c r="G86" s="38" t="str">
        <x:f>IF(E86="","",E86*(1+IF(F86="",0,F86)))</x:f>
      </x:c>
      <x:c r="H86" s="26"/>
    </x:row>
    <x:row r="87" ht="20" customHeight="1">
      <x:c r="A87" s="26"/>
      <x:c r="B87" s="26"/>
      <x:c r="C87" s="26"/>
      <x:c r="D87" s="27"/>
      <x:c r="E87" s="38" t="str">
        <x:f>IF(OR(C87="",D87=""),"",C87*D87)</x:f>
      </x:c>
      <x:c r="F87" s="28"/>
      <x:c r="G87" s="38" t="str">
        <x:f>IF(E87="","",E87*(1+IF(F87="",0,F87)))</x:f>
      </x:c>
      <x:c r="H87" s="26"/>
    </x:row>
    <x:row r="88" ht="20" customHeight="1">
      <x:c r="A88" s="26"/>
      <x:c r="B88" s="26"/>
      <x:c r="C88" s="26"/>
      <x:c r="D88" s="27"/>
      <x:c r="E88" s="38" t="str">
        <x:f>IF(OR(C88="",D88=""),"",C88*D88)</x:f>
      </x:c>
      <x:c r="F88" s="28"/>
      <x:c r="G88" s="38" t="str">
        <x:f>IF(E88="","",E88*(1+IF(F88="",0,F88)))</x:f>
      </x:c>
      <x:c r="H88" s="26"/>
    </x:row>
    <x:row r="89" ht="20" customHeight="1">
      <x:c r="A89" s="26"/>
      <x:c r="B89" s="26"/>
      <x:c r="C89" s="26"/>
      <x:c r="D89" s="27"/>
      <x:c r="E89" s="38" t="str">
        <x:f>IF(OR(C89="",D89=""),"",C89*D89)</x:f>
      </x:c>
      <x:c r="F89" s="28"/>
      <x:c r="G89" s="38" t="str">
        <x:f>IF(E89="","",E89*(1+IF(F89="",0,F89)))</x:f>
      </x:c>
      <x:c r="H89" s="26"/>
    </x:row>
    <x:row r="90" ht="20" customHeight="1">
      <x:c r="A90" s="26"/>
      <x:c r="B90" s="26"/>
      <x:c r="C90" s="26"/>
      <x:c r="D90" s="27"/>
      <x:c r="E90" s="38" t="str">
        <x:f>IF(OR(C90="",D90=""),"",C90*D90)</x:f>
      </x:c>
      <x:c r="F90" s="28"/>
      <x:c r="G90" s="38" t="str">
        <x:f>IF(E90="","",E90*(1+IF(F90="",0,F90)))</x:f>
      </x:c>
      <x:c r="H90" s="26"/>
    </x:row>
    <x:row r="91" ht="20" customHeight="1">
      <x:c r="A91" s="26"/>
      <x:c r="B91" s="26"/>
      <x:c r="C91" s="26"/>
      <x:c r="D91" s="27"/>
      <x:c r="E91" s="38" t="str">
        <x:f>IF(OR(C91="",D91=""),"",C91*D91)</x:f>
      </x:c>
      <x:c r="F91" s="28"/>
      <x:c r="G91" s="38" t="str">
        <x:f>IF(E91="","",E91*(1+IF(F91="",0,F91)))</x:f>
      </x:c>
      <x:c r="H91" s="26"/>
    </x:row>
    <x:row r="92" ht="20" customHeight="1">
      <x:c r="A92" s="26"/>
      <x:c r="B92" s="26"/>
      <x:c r="C92" s="26"/>
      <x:c r="D92" s="27"/>
      <x:c r="E92" s="38" t="str">
        <x:f>IF(OR(C92="",D92=""),"",C92*D92)</x:f>
      </x:c>
      <x:c r="F92" s="28"/>
      <x:c r="G92" s="38" t="str">
        <x:f>IF(E92="","",E92*(1+IF(F92="",0,F92)))</x:f>
      </x:c>
      <x:c r="H92" s="26"/>
    </x:row>
    <x:row r="93" ht="20" customHeight="1">
      <x:c r="A93" s="26"/>
      <x:c r="B93" s="26"/>
      <x:c r="C93" s="26"/>
      <x:c r="D93" s="27"/>
      <x:c r="E93" s="38" t="str">
        <x:f>IF(OR(C93="",D93=""),"",C93*D93)</x:f>
      </x:c>
      <x:c r="F93" s="28"/>
      <x:c r="G93" s="38" t="str">
        <x:f>IF(E93="","",E93*(1+IF(F93="",0,F93)))</x:f>
      </x:c>
      <x:c r="H93" s="26"/>
    </x:row>
    <x:row r="94" ht="20" customHeight="1">
      <x:c r="A94" s="26"/>
      <x:c r="B94" s="26"/>
      <x:c r="C94" s="26"/>
      <x:c r="D94" s="27"/>
      <x:c r="E94" s="38" t="str">
        <x:f>IF(OR(C94="",D94=""),"",C94*D94)</x:f>
      </x:c>
      <x:c r="F94" s="28"/>
      <x:c r="G94" s="38" t="str">
        <x:f>IF(E94="","",E94*(1+IF(F94="",0,F94)))</x:f>
      </x:c>
      <x:c r="H94" s="26"/>
    </x:row>
    <x:row r="95" ht="20" customHeight="1">
      <x:c r="A95" s="26"/>
      <x:c r="B95" s="26"/>
      <x:c r="C95" s="26"/>
      <x:c r="D95" s="27"/>
      <x:c r="E95" s="38" t="str">
        <x:f>IF(OR(C95="",D95=""),"",C95*D95)</x:f>
      </x:c>
      <x:c r="F95" s="28"/>
      <x:c r="G95" s="38" t="str">
        <x:f>IF(E95="","",E95*(1+IF(F95="",0,F95)))</x:f>
      </x:c>
      <x:c r="H95" s="26"/>
    </x:row>
    <x:row r="96" ht="20" customHeight="1">
      <x:c r="A96" s="26"/>
      <x:c r="B96" s="26"/>
      <x:c r="C96" s="26"/>
      <x:c r="D96" s="27"/>
      <x:c r="E96" s="38" t="str">
        <x:f>IF(OR(C96="",D96=""),"",C96*D96)</x:f>
      </x:c>
      <x:c r="F96" s="28"/>
      <x:c r="G96" s="38" t="str">
        <x:f>IF(E96="","",E96*(1+IF(F96="",0,F96)))</x:f>
      </x:c>
      <x:c r="H96" s="26"/>
    </x:row>
    <x:row r="97" ht="20" customHeight="1">
      <x:c r="A97" s="26"/>
      <x:c r="B97" s="26"/>
      <x:c r="C97" s="26"/>
      <x:c r="D97" s="27"/>
      <x:c r="E97" s="38" t="str">
        <x:f>IF(OR(C97="",D97=""),"",C97*D97)</x:f>
      </x:c>
      <x:c r="F97" s="28"/>
      <x:c r="G97" s="38" t="str">
        <x:f>IF(E97="","",E97*(1+IF(F97="",0,F97)))</x:f>
      </x:c>
      <x:c r="H97" s="26"/>
    </x:row>
    <x:row r="98" ht="20" customHeight="1">
      <x:c r="A98" s="26"/>
      <x:c r="B98" s="26"/>
      <x:c r="C98" s="26"/>
      <x:c r="D98" s="27"/>
      <x:c r="E98" s="38" t="str">
        <x:f>IF(OR(C98="",D98=""),"",C98*D98)</x:f>
      </x:c>
      <x:c r="F98" s="28"/>
      <x:c r="G98" s="38" t="str">
        <x:f>IF(E98="","",E98*(1+IF(F98="",0,F98)))</x:f>
      </x:c>
      <x:c r="H98" s="26"/>
    </x:row>
    <x:row r="99" ht="20" customHeight="1">
      <x:c r="A99" s="26"/>
      <x:c r="B99" s="26"/>
      <x:c r="C99" s="26"/>
      <x:c r="D99" s="27"/>
      <x:c r="E99" s="38" t="str">
        <x:f>IF(OR(C99="",D99=""),"",C99*D99)</x:f>
      </x:c>
      <x:c r="F99" s="28"/>
      <x:c r="G99" s="38" t="str">
        <x:f>IF(E99="","",E99*(1+IF(F99="",0,F99)))</x:f>
      </x:c>
      <x:c r="H99" s="26"/>
    </x:row>
    <x:row r="100" ht="20" customHeight="1">
      <x:c r="A100" s="26"/>
      <x:c r="B100" s="26"/>
      <x:c r="C100" s="26"/>
      <x:c r="D100" s="27"/>
      <x:c r="E100" s="38" t="str">
        <x:f>IF(OR(C100="",D100=""),"",C100*D100)</x:f>
      </x:c>
      <x:c r="F100" s="28"/>
      <x:c r="G100" s="38" t="str">
        <x:f>IF(E100="","",E100*(1+IF(F100="",0,F100)))</x:f>
      </x:c>
      <x:c r="H100" s="26"/>
    </x:row>
    <x:row r="101" ht="20" customHeight="1">
      <x:c r="A101" s="26"/>
      <x:c r="B101" s="26"/>
      <x:c r="C101" s="26"/>
      <x:c r="D101" s="27"/>
      <x:c r="E101" s="38" t="str">
        <x:f>IF(OR(C101="",D101=""),"",C101*D101)</x:f>
      </x:c>
      <x:c r="F101" s="28"/>
      <x:c r="G101" s="38" t="str">
        <x:f>IF(E101="","",E101*(1+IF(F101="",0,F101)))</x:f>
      </x:c>
      <x:c r="H101" s="26"/>
    </x:row>
    <x:row r="102" ht="20" customHeight="1">
      <x:c r="A102" s="26"/>
      <x:c r="B102" s="26"/>
      <x:c r="C102" s="26"/>
      <x:c r="D102" s="27"/>
      <x:c r="E102" s="38" t="str">
        <x:f>IF(OR(C102="",D102=""),"",C102*D102)</x:f>
      </x:c>
      <x:c r="F102" s="28"/>
      <x:c r="G102" s="38" t="str">
        <x:f>IF(E102="","",E102*(1+IF(F102="",0,F102)))</x:f>
      </x:c>
      <x:c r="H102" s="26"/>
    </x:row>
    <x:row r="103" ht="20" customHeight="1">
      <x:c r="A103" s="26"/>
      <x:c r="B103" s="26"/>
      <x:c r="C103" s="26"/>
      <x:c r="D103" s="27"/>
      <x:c r="E103" s="38" t="str">
        <x:f>IF(OR(C103="",D103=""),"",C103*D103)</x:f>
      </x:c>
      <x:c r="F103" s="28"/>
      <x:c r="G103" s="38" t="str">
        <x:f>IF(E103="","",E103*(1+IF(F103="",0,F103)))</x:f>
      </x:c>
      <x:c r="H103" s="26"/>
    </x:row>
  </x:sheetData>
  <x:mergeCells>
    <x:mergeCell ref="A1:H1"/>
  </x:mergeCells>
  <x:dataValidations count="1">
    <x:dataValidation type="list" sqref="B4:B103">
      <x:formula1>"Materials,Labor,Equipment,Subcontractor,Other"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20" hidden="0" customWidth="1"/>
    <x:col min="4" max="4" width="14" hidden="0" customWidth="1"/>
    <x:col min="5" max="5" width="20" hidden="0" customWidth="1"/>
    <x:col min="6" max="6" width="22" hidden="0" customWidth="1"/>
    <x:col min="7" max="7" width="26" hidden="0" customWidth="1"/>
    <x:col min="8" max="8" width="21" hidden="0" customWidth="1"/>
  </x:cols>
  <x:sheetData>
    <x:row r="1" ht="35" customHeight="1">
      <x:c r="A1" s="4" t="str">
        <x:v>ACTUAL COST LEDGER  |  ENTER EACH COST ONCE</x:v>
      </x:c>
      <x:c r="B1" s="4"/>
      <x:c r="C1" s="4"/>
      <x:c r="D1" s="4"/>
      <x:c r="E1" s="4"/>
      <x:c r="F1" s="4"/>
      <x:c r="G1" s="4"/>
      <x:c r="H1" s="4"/>
    </x:row>
    <x:row r="3" ht="27" customHeight="1">
      <x:c r="A3" s="10" t="str">
        <x:v>DATE</x:v>
      </x:c>
      <x:c r="B3" s="10" t="str">
        <x:v>DESCRIPTION</x:v>
      </x:c>
      <x:c r="C3" s="10" t="str">
        <x:v>CATEGORY</x:v>
      </x:c>
      <x:c r="D3" s="10" t="str">
        <x:v>QTY</x:v>
      </x:c>
      <x:c r="E3" s="10" t="str">
        <x:v>UNIT COST ($)</x:v>
      </x:c>
      <x:c r="F3" s="10" t="str">
        <x:v>ACTUAL COST ($)</x:v>
      </x:c>
      <x:c r="G3" s="10" t="str">
        <x:v>REFERENCE</x:v>
      </x:c>
      <x:c r="H3" s="10" t="str">
        <x:v>BASE / CHANGE</x:v>
      </x:c>
    </x:row>
    <x:row r="4" ht="20" customHeight="1">
      <x:c r="A4" s="29" t="n">
        <x:v>46296</x:v>
      </x:c>
      <x:c r="B4" s="26" t="str">
        <x:v>EMT conduit purchased</x:v>
      </x:c>
      <x:c r="C4" s="26" t="str">
        <x:v>Materials</x:v>
      </x:c>
      <x:c r="D4" s="26" t="n">
        <x:v>220</x:v>
      </x:c>
      <x:c r="E4" s="27" t="n">
        <x:v>1.95</x:v>
      </x:c>
      <x:c r="F4" s="38" t="n">
        <x:f>IF(OR(D4="",E4=""),"",D4*E4)</x:f>
        <x:v>429</x:v>
      </x:c>
      <x:c r="G4" s="26" t="str">
        <x:v>Receipt 001</x:v>
      </x:c>
      <x:c r="H4" s="26" t="str">
        <x:v>Base</x:v>
      </x:c>
    </x:row>
    <x:row r="5" ht="20" customHeight="1">
      <x:c r="A5" s="29" t="n">
        <x:v>46297</x:v>
      </x:c>
      <x:c r="B5" s="26" t="str">
        <x:v>THHN wire purchased</x:v>
      </x:c>
      <x:c r="C5" s="26" t="str">
        <x:v>Materials</x:v>
      </x:c>
      <x:c r="D5" s="26" t="n">
        <x:v>680</x:v>
      </x:c>
      <x:c r="E5" s="27" t="n">
        <x:v>0.5</x:v>
      </x:c>
      <x:c r="F5" s="38" t="n">
        <x:f>IF(OR(D5="",E5=""),"",D5*E5)</x:f>
        <x:v>340</x:v>
      </x:c>
      <x:c r="G5" s="26" t="str">
        <x:v>Receipt 002</x:v>
      </x:c>
      <x:c r="H5" s="26" t="str">
        <x:v>Base</x:v>
      </x:c>
    </x:row>
    <x:row r="6" ht="20" customHeight="1">
      <x:c r="A6" s="29" t="n">
        <x:v>46300</x:v>
      </x:c>
      <x:c r="B6" s="26" t="str">
        <x:v>Electrician hours</x:v>
      </x:c>
      <x:c r="C6" s="26" t="str">
        <x:v>Labor</x:v>
      </x:c>
      <x:c r="D6" s="26" t="n">
        <x:v>41</x:v>
      </x:c>
      <x:c r="E6" s="27" t="n">
        <x:v>52</x:v>
      </x:c>
      <x:c r="F6" s="38" t="n">
        <x:f>IF(OR(D6="",E6=""),"",D6*E6)</x:f>
        <x:v>2132</x:v>
      </x:c>
      <x:c r="G6" s="26" t="str">
        <x:v>Timesheet 01</x:v>
      </x:c>
      <x:c r="H6" s="26" t="str">
        <x:v>Base</x:v>
      </x:c>
    </x:row>
    <x:row r="7" ht="20" customHeight="1">
      <x:c r="A7" s="29" t="n">
        <x:v>46300</x:v>
      </x:c>
      <x:c r="B7" s="26" t="str">
        <x:v>Helper hours</x:v>
      </x:c>
      <x:c r="C7" s="26" t="str">
        <x:v>Labor</x:v>
      </x:c>
      <x:c r="D7" s="26" t="n">
        <x:v>20</x:v>
      </x:c>
      <x:c r="E7" s="27" t="n">
        <x:v>32</x:v>
      </x:c>
      <x:c r="F7" s="38" t="n">
        <x:f>IF(OR(D7="",E7=""),"",D7*E7)</x:f>
        <x:v>640</x:v>
      </x:c>
      <x:c r="G7" s="26" t="str">
        <x:v>Timesheet 01</x:v>
      </x:c>
      <x:c r="H7" s="26" t="str">
        <x:v>Base</x:v>
      </x:c>
    </x:row>
    <x:row r="8" ht="20" customHeight="1">
      <x:c r="A8" s="29" t="n">
        <x:v>46301</x:v>
      </x:c>
      <x:c r="B8" s="26" t="str">
        <x:v>Lift rental</x:v>
      </x:c>
      <x:c r="C8" s="26" t="str">
        <x:v>Equipment</x:v>
      </x:c>
      <x:c r="D8" s="26" t="n">
        <x:v>2</x:v>
      </x:c>
      <x:c r="E8" s="27" t="n">
        <x:v>190</x:v>
      </x:c>
      <x:c r="F8" s="38" t="n">
        <x:f>IF(OR(D8="",E8=""),"",D8*E8)</x:f>
        <x:v>380</x:v>
      </x:c>
      <x:c r="G8" s="26" t="str">
        <x:v>Rental 001</x:v>
      </x:c>
      <x:c r="H8" s="26" t="str">
        <x:v>Base</x:v>
      </x:c>
    </x:row>
    <x:row r="9" ht="20" customHeight="1">
      <x:c r="A9" s="29"/>
      <x:c r="B9" s="26"/>
      <x:c r="C9" s="26"/>
      <x:c r="D9" s="26"/>
      <x:c r="E9" s="27"/>
      <x:c r="F9" s="38" t="str">
        <x:f>IF(OR(D9="",E9=""),"",D9*E9)</x:f>
      </x:c>
      <x:c r="G9" s="26"/>
      <x:c r="H9" s="26"/>
    </x:row>
    <x:row r="10" ht="20" customHeight="1">
      <x:c r="A10" s="29"/>
      <x:c r="B10" s="26"/>
      <x:c r="C10" s="26"/>
      <x:c r="D10" s="26"/>
      <x:c r="E10" s="27"/>
      <x:c r="F10" s="38" t="str">
        <x:f>IF(OR(D10="",E10=""),"",D10*E10)</x:f>
      </x:c>
      <x:c r="G10" s="26"/>
      <x:c r="H10" s="26"/>
    </x:row>
    <x:row r="11" ht="20" customHeight="1">
      <x:c r="A11" s="29"/>
      <x:c r="B11" s="26"/>
      <x:c r="C11" s="26"/>
      <x:c r="D11" s="26"/>
      <x:c r="E11" s="27"/>
      <x:c r="F11" s="38" t="str">
        <x:f>IF(OR(D11="",E11=""),"",D11*E11)</x:f>
      </x:c>
      <x:c r="G11" s="26"/>
      <x:c r="H11" s="26"/>
    </x:row>
    <x:row r="12" ht="20" customHeight="1">
      <x:c r="A12" s="29"/>
      <x:c r="B12" s="26"/>
      <x:c r="C12" s="26"/>
      <x:c r="D12" s="26"/>
      <x:c r="E12" s="27"/>
      <x:c r="F12" s="38" t="str">
        <x:f>IF(OR(D12="",E12=""),"",D12*E12)</x:f>
      </x:c>
      <x:c r="G12" s="26"/>
      <x:c r="H12" s="26"/>
    </x:row>
    <x:row r="13" ht="20" customHeight="1">
      <x:c r="A13" s="29"/>
      <x:c r="B13" s="26"/>
      <x:c r="C13" s="26"/>
      <x:c r="D13" s="26"/>
      <x:c r="E13" s="27"/>
      <x:c r="F13" s="38" t="str">
        <x:f>IF(OR(D13="",E13=""),"",D13*E13)</x:f>
      </x:c>
      <x:c r="G13" s="26"/>
      <x:c r="H13" s="26"/>
    </x:row>
    <x:row r="14" ht="20" customHeight="1">
      <x:c r="A14" s="29"/>
      <x:c r="B14" s="26"/>
      <x:c r="C14" s="26"/>
      <x:c r="D14" s="26"/>
      <x:c r="E14" s="27"/>
      <x:c r="F14" s="38" t="str">
        <x:f>IF(OR(D14="",E14=""),"",D14*E14)</x:f>
      </x:c>
      <x:c r="G14" s="26"/>
      <x:c r="H14" s="26"/>
    </x:row>
    <x:row r="15" ht="20" customHeight="1">
      <x:c r="A15" s="29"/>
      <x:c r="B15" s="26"/>
      <x:c r="C15" s="26"/>
      <x:c r="D15" s="26"/>
      <x:c r="E15" s="27"/>
      <x:c r="F15" s="38" t="str">
        <x:f>IF(OR(D15="",E15=""),"",D15*E15)</x:f>
      </x:c>
      <x:c r="G15" s="26"/>
      <x:c r="H15" s="26"/>
    </x:row>
    <x:row r="16" ht="20" customHeight="1">
      <x:c r="A16" s="29"/>
      <x:c r="B16" s="26"/>
      <x:c r="C16" s="26"/>
      <x:c r="D16" s="26"/>
      <x:c r="E16" s="27"/>
      <x:c r="F16" s="38" t="str">
        <x:f>IF(OR(D16="",E16=""),"",D16*E16)</x:f>
      </x:c>
      <x:c r="G16" s="26"/>
      <x:c r="H16" s="26"/>
    </x:row>
    <x:row r="17" ht="20" customHeight="1">
      <x:c r="A17" s="29"/>
      <x:c r="B17" s="26"/>
      <x:c r="C17" s="26"/>
      <x:c r="D17" s="26"/>
      <x:c r="E17" s="27"/>
      <x:c r="F17" s="38" t="str">
        <x:f>IF(OR(D17="",E17=""),"",D17*E17)</x:f>
      </x:c>
      <x:c r="G17" s="26"/>
      <x:c r="H17" s="26"/>
    </x:row>
    <x:row r="18" ht="20" customHeight="1">
      <x:c r="A18" s="29"/>
      <x:c r="B18" s="26"/>
      <x:c r="C18" s="26"/>
      <x:c r="D18" s="26"/>
      <x:c r="E18" s="27"/>
      <x:c r="F18" s="38" t="str">
        <x:f>IF(OR(D18="",E18=""),"",D18*E18)</x:f>
      </x:c>
      <x:c r="G18" s="26"/>
      <x:c r="H18" s="26"/>
    </x:row>
    <x:row r="19" ht="20" customHeight="1">
      <x:c r="A19" s="29"/>
      <x:c r="B19" s="26"/>
      <x:c r="C19" s="26"/>
      <x:c r="D19" s="26"/>
      <x:c r="E19" s="27"/>
      <x:c r="F19" s="38" t="str">
        <x:f>IF(OR(D19="",E19=""),"",D19*E19)</x:f>
      </x:c>
      <x:c r="G19" s="26"/>
      <x:c r="H19" s="26"/>
    </x:row>
    <x:row r="20" ht="20" customHeight="1">
      <x:c r="A20" s="29"/>
      <x:c r="B20" s="26"/>
      <x:c r="C20" s="26"/>
      <x:c r="D20" s="26"/>
      <x:c r="E20" s="27"/>
      <x:c r="F20" s="38" t="str">
        <x:f>IF(OR(D20="",E20=""),"",D20*E20)</x:f>
      </x:c>
      <x:c r="G20" s="26"/>
      <x:c r="H20" s="26"/>
    </x:row>
    <x:row r="21" ht="20" customHeight="1">
      <x:c r="A21" s="29"/>
      <x:c r="B21" s="26"/>
      <x:c r="C21" s="26"/>
      <x:c r="D21" s="26"/>
      <x:c r="E21" s="27"/>
      <x:c r="F21" s="38" t="str">
        <x:f>IF(OR(D21="",E21=""),"",D21*E21)</x:f>
      </x:c>
      <x:c r="G21" s="26"/>
      <x:c r="H21" s="26"/>
    </x:row>
    <x:row r="22" ht="20" customHeight="1">
      <x:c r="A22" s="29"/>
      <x:c r="B22" s="26"/>
      <x:c r="C22" s="26"/>
      <x:c r="D22" s="26"/>
      <x:c r="E22" s="27"/>
      <x:c r="F22" s="38" t="str">
        <x:f>IF(OR(D22="",E22=""),"",D22*E22)</x:f>
      </x:c>
      <x:c r="G22" s="26"/>
      <x:c r="H22" s="26"/>
    </x:row>
    <x:row r="23" ht="20" customHeight="1">
      <x:c r="A23" s="29"/>
      <x:c r="B23" s="26"/>
      <x:c r="C23" s="26"/>
      <x:c r="D23" s="26"/>
      <x:c r="E23" s="27"/>
      <x:c r="F23" s="38" t="str">
        <x:f>IF(OR(D23="",E23=""),"",D23*E23)</x:f>
      </x:c>
      <x:c r="G23" s="26"/>
      <x:c r="H23" s="26"/>
    </x:row>
    <x:row r="24" ht="20" customHeight="1">
      <x:c r="A24" s="29"/>
      <x:c r="B24" s="26"/>
      <x:c r="C24" s="26"/>
      <x:c r="D24" s="26"/>
      <x:c r="E24" s="27"/>
      <x:c r="F24" s="38" t="str">
        <x:f>IF(OR(D24="",E24=""),"",D24*E24)</x:f>
      </x:c>
      <x:c r="G24" s="26"/>
      <x:c r="H24" s="26"/>
    </x:row>
    <x:row r="25" ht="20" customHeight="1">
      <x:c r="A25" s="29"/>
      <x:c r="B25" s="26"/>
      <x:c r="C25" s="26"/>
      <x:c r="D25" s="26"/>
      <x:c r="E25" s="27"/>
      <x:c r="F25" s="38" t="str">
        <x:f>IF(OR(D25="",E25=""),"",D25*E25)</x:f>
      </x:c>
      <x:c r="G25" s="26"/>
      <x:c r="H25" s="26"/>
    </x:row>
    <x:row r="26" ht="20" customHeight="1">
      <x:c r="A26" s="29"/>
      <x:c r="B26" s="26"/>
      <x:c r="C26" s="26"/>
      <x:c r="D26" s="26"/>
      <x:c r="E26" s="27"/>
      <x:c r="F26" s="38" t="str">
        <x:f>IF(OR(D26="",E26=""),"",D26*E26)</x:f>
      </x:c>
      <x:c r="G26" s="26"/>
      <x:c r="H26" s="26"/>
    </x:row>
    <x:row r="27" ht="20" customHeight="1">
      <x:c r="A27" s="29"/>
      <x:c r="B27" s="26"/>
      <x:c r="C27" s="26"/>
      <x:c r="D27" s="26"/>
      <x:c r="E27" s="27"/>
      <x:c r="F27" s="38" t="str">
        <x:f>IF(OR(D27="",E27=""),"",D27*E27)</x:f>
      </x:c>
      <x:c r="G27" s="26"/>
      <x:c r="H27" s="26"/>
    </x:row>
    <x:row r="28" ht="20" customHeight="1">
      <x:c r="A28" s="29"/>
      <x:c r="B28" s="26"/>
      <x:c r="C28" s="26"/>
      <x:c r="D28" s="26"/>
      <x:c r="E28" s="27"/>
      <x:c r="F28" s="38" t="str">
        <x:f>IF(OR(D28="",E28=""),"",D28*E28)</x:f>
      </x:c>
      <x:c r="G28" s="26"/>
      <x:c r="H28" s="26"/>
    </x:row>
    <x:row r="29" ht="20" customHeight="1">
      <x:c r="A29" s="29"/>
      <x:c r="B29" s="26"/>
      <x:c r="C29" s="26"/>
      <x:c r="D29" s="26"/>
      <x:c r="E29" s="27"/>
      <x:c r="F29" s="38" t="str">
        <x:f>IF(OR(D29="",E29=""),"",D29*E29)</x:f>
      </x:c>
      <x:c r="G29" s="26"/>
      <x:c r="H29" s="26"/>
    </x:row>
    <x:row r="30" ht="20" customHeight="1">
      <x:c r="A30" s="29"/>
      <x:c r="B30" s="26"/>
      <x:c r="C30" s="26"/>
      <x:c r="D30" s="26"/>
      <x:c r="E30" s="27"/>
      <x:c r="F30" s="38" t="str">
        <x:f>IF(OR(D30="",E30=""),"",D30*E30)</x:f>
      </x:c>
      <x:c r="G30" s="26"/>
      <x:c r="H30" s="26"/>
    </x:row>
    <x:row r="31" ht="20" customHeight="1">
      <x:c r="A31" s="29"/>
      <x:c r="B31" s="26"/>
      <x:c r="C31" s="26"/>
      <x:c r="D31" s="26"/>
      <x:c r="E31" s="27"/>
      <x:c r="F31" s="38" t="str">
        <x:f>IF(OR(D31="",E31=""),"",D31*E31)</x:f>
      </x:c>
      <x:c r="G31" s="26"/>
      <x:c r="H31" s="26"/>
    </x:row>
    <x:row r="32" ht="20" customHeight="1">
      <x:c r="A32" s="29"/>
      <x:c r="B32" s="26"/>
      <x:c r="C32" s="26"/>
      <x:c r="D32" s="26"/>
      <x:c r="E32" s="27"/>
      <x:c r="F32" s="38" t="str">
        <x:f>IF(OR(D32="",E32=""),"",D32*E32)</x:f>
      </x:c>
      <x:c r="G32" s="26"/>
      <x:c r="H32" s="26"/>
    </x:row>
    <x:row r="33" ht="20" customHeight="1">
      <x:c r="A33" s="29"/>
      <x:c r="B33" s="26"/>
      <x:c r="C33" s="26"/>
      <x:c r="D33" s="26"/>
      <x:c r="E33" s="27"/>
      <x:c r="F33" s="38" t="str">
        <x:f>IF(OR(D33="",E33=""),"",D33*E33)</x:f>
      </x:c>
      <x:c r="G33" s="26"/>
      <x:c r="H33" s="26"/>
    </x:row>
    <x:row r="34" ht="20" customHeight="1">
      <x:c r="A34" s="29"/>
      <x:c r="B34" s="26"/>
      <x:c r="C34" s="26"/>
      <x:c r="D34" s="26"/>
      <x:c r="E34" s="27"/>
      <x:c r="F34" s="38" t="str">
        <x:f>IF(OR(D34="",E34=""),"",D34*E34)</x:f>
      </x:c>
      <x:c r="G34" s="26"/>
      <x:c r="H34" s="26"/>
    </x:row>
    <x:row r="35" ht="20" customHeight="1">
      <x:c r="A35" s="29"/>
      <x:c r="B35" s="26"/>
      <x:c r="C35" s="26"/>
      <x:c r="D35" s="26"/>
      <x:c r="E35" s="27"/>
      <x:c r="F35" s="38" t="str">
        <x:f>IF(OR(D35="",E35=""),"",D35*E35)</x:f>
      </x:c>
      <x:c r="G35" s="26"/>
      <x:c r="H35" s="26"/>
    </x:row>
    <x:row r="36" ht="20" customHeight="1">
      <x:c r="A36" s="29"/>
      <x:c r="B36" s="26"/>
      <x:c r="C36" s="26"/>
      <x:c r="D36" s="26"/>
      <x:c r="E36" s="27"/>
      <x:c r="F36" s="38" t="str">
        <x:f>IF(OR(D36="",E36=""),"",D36*E36)</x:f>
      </x:c>
      <x:c r="G36" s="26"/>
      <x:c r="H36" s="26"/>
    </x:row>
    <x:row r="37" ht="20" customHeight="1">
      <x:c r="A37" s="29"/>
      <x:c r="B37" s="26"/>
      <x:c r="C37" s="26"/>
      <x:c r="D37" s="26"/>
      <x:c r="E37" s="27"/>
      <x:c r="F37" s="38" t="str">
        <x:f>IF(OR(D37="",E37=""),"",D37*E37)</x:f>
      </x:c>
      <x:c r="G37" s="26"/>
      <x:c r="H37" s="26"/>
    </x:row>
    <x:row r="38" ht="20" customHeight="1">
      <x:c r="A38" s="29"/>
      <x:c r="B38" s="26"/>
      <x:c r="C38" s="26"/>
      <x:c r="D38" s="26"/>
      <x:c r="E38" s="27"/>
      <x:c r="F38" s="38" t="str">
        <x:f>IF(OR(D38="",E38=""),"",D38*E38)</x:f>
      </x:c>
      <x:c r="G38" s="26"/>
      <x:c r="H38" s="26"/>
    </x:row>
    <x:row r="39" ht="20" customHeight="1">
      <x:c r="A39" s="29"/>
      <x:c r="B39" s="26"/>
      <x:c r="C39" s="26"/>
      <x:c r="D39" s="26"/>
      <x:c r="E39" s="27"/>
      <x:c r="F39" s="38" t="str">
        <x:f>IF(OR(D39="",E39=""),"",D39*E39)</x:f>
      </x:c>
      <x:c r="G39" s="26"/>
      <x:c r="H39" s="26"/>
    </x:row>
    <x:row r="40" ht="20" customHeight="1">
      <x:c r="A40" s="29"/>
      <x:c r="B40" s="26"/>
      <x:c r="C40" s="26"/>
      <x:c r="D40" s="26"/>
      <x:c r="E40" s="27"/>
      <x:c r="F40" s="38" t="str">
        <x:f>IF(OR(D40="",E40=""),"",D40*E40)</x:f>
      </x:c>
      <x:c r="G40" s="26"/>
      <x:c r="H40" s="26"/>
    </x:row>
    <x:row r="41" ht="20" customHeight="1">
      <x:c r="A41" s="29"/>
      <x:c r="B41" s="26"/>
      <x:c r="C41" s="26"/>
      <x:c r="D41" s="26"/>
      <x:c r="E41" s="27"/>
      <x:c r="F41" s="38" t="str">
        <x:f>IF(OR(D41="",E41=""),"",D41*E41)</x:f>
      </x:c>
      <x:c r="G41" s="26"/>
      <x:c r="H41" s="26"/>
    </x:row>
    <x:row r="42" ht="20" customHeight="1">
      <x:c r="A42" s="29"/>
      <x:c r="B42" s="26"/>
      <x:c r="C42" s="26"/>
      <x:c r="D42" s="26"/>
      <x:c r="E42" s="27"/>
      <x:c r="F42" s="38" t="str">
        <x:f>IF(OR(D42="",E42=""),"",D42*E42)</x:f>
      </x:c>
      <x:c r="G42" s="26"/>
      <x:c r="H42" s="26"/>
    </x:row>
    <x:row r="43" ht="20" customHeight="1">
      <x:c r="A43" s="29"/>
      <x:c r="B43" s="26"/>
      <x:c r="C43" s="26"/>
      <x:c r="D43" s="26"/>
      <x:c r="E43" s="27"/>
      <x:c r="F43" s="38" t="str">
        <x:f>IF(OR(D43="",E43=""),"",D43*E43)</x:f>
      </x:c>
      <x:c r="G43" s="26"/>
      <x:c r="H43" s="26"/>
    </x:row>
    <x:row r="44" ht="20" customHeight="1">
      <x:c r="A44" s="29"/>
      <x:c r="B44" s="26"/>
      <x:c r="C44" s="26"/>
      <x:c r="D44" s="26"/>
      <x:c r="E44" s="27"/>
      <x:c r="F44" s="38" t="str">
        <x:f>IF(OR(D44="",E44=""),"",D44*E44)</x:f>
      </x:c>
      <x:c r="G44" s="26"/>
      <x:c r="H44" s="26"/>
    </x:row>
    <x:row r="45" ht="20" customHeight="1">
      <x:c r="A45" s="29"/>
      <x:c r="B45" s="26"/>
      <x:c r="C45" s="26"/>
      <x:c r="D45" s="26"/>
      <x:c r="E45" s="27"/>
      <x:c r="F45" s="38" t="str">
        <x:f>IF(OR(D45="",E45=""),"",D45*E45)</x:f>
      </x:c>
      <x:c r="G45" s="26"/>
      <x:c r="H45" s="26"/>
    </x:row>
    <x:row r="46" ht="20" customHeight="1">
      <x:c r="A46" s="29"/>
      <x:c r="B46" s="26"/>
      <x:c r="C46" s="26"/>
      <x:c r="D46" s="26"/>
      <x:c r="E46" s="27"/>
      <x:c r="F46" s="38" t="str">
        <x:f>IF(OR(D46="",E46=""),"",D46*E46)</x:f>
      </x:c>
      <x:c r="G46" s="26"/>
      <x:c r="H46" s="26"/>
    </x:row>
    <x:row r="47" ht="20" customHeight="1">
      <x:c r="A47" s="29"/>
      <x:c r="B47" s="26"/>
      <x:c r="C47" s="26"/>
      <x:c r="D47" s="26"/>
      <x:c r="E47" s="27"/>
      <x:c r="F47" s="38" t="str">
        <x:f>IF(OR(D47="",E47=""),"",D47*E47)</x:f>
      </x:c>
      <x:c r="G47" s="26"/>
      <x:c r="H47" s="26"/>
    </x:row>
    <x:row r="48" ht="20" customHeight="1">
      <x:c r="A48" s="29"/>
      <x:c r="B48" s="26"/>
      <x:c r="C48" s="26"/>
      <x:c r="D48" s="26"/>
      <x:c r="E48" s="27"/>
      <x:c r="F48" s="38" t="str">
        <x:f>IF(OR(D48="",E48=""),"",D48*E48)</x:f>
      </x:c>
      <x:c r="G48" s="26"/>
      <x:c r="H48" s="26"/>
    </x:row>
    <x:row r="49" ht="20" customHeight="1">
      <x:c r="A49" s="29"/>
      <x:c r="B49" s="26"/>
      <x:c r="C49" s="26"/>
      <x:c r="D49" s="26"/>
      <x:c r="E49" s="27"/>
      <x:c r="F49" s="38" t="str">
        <x:f>IF(OR(D49="",E49=""),"",D49*E49)</x:f>
      </x:c>
      <x:c r="G49" s="26"/>
      <x:c r="H49" s="26"/>
    </x:row>
    <x:row r="50" ht="20" customHeight="1">
      <x:c r="A50" s="29"/>
      <x:c r="B50" s="26"/>
      <x:c r="C50" s="26"/>
      <x:c r="D50" s="26"/>
      <x:c r="E50" s="27"/>
      <x:c r="F50" s="38" t="str">
        <x:f>IF(OR(D50="",E50=""),"",D50*E50)</x:f>
      </x:c>
      <x:c r="G50" s="26"/>
      <x:c r="H50" s="26"/>
    </x:row>
    <x:row r="51" ht="20" customHeight="1">
      <x:c r="A51" s="29"/>
      <x:c r="B51" s="26"/>
      <x:c r="C51" s="26"/>
      <x:c r="D51" s="26"/>
      <x:c r="E51" s="27"/>
      <x:c r="F51" s="38" t="str">
        <x:f>IF(OR(D51="",E51=""),"",D51*E51)</x:f>
      </x:c>
      <x:c r="G51" s="26"/>
      <x:c r="H51" s="26"/>
    </x:row>
    <x:row r="52" ht="20" customHeight="1">
      <x:c r="A52" s="29"/>
      <x:c r="B52" s="26"/>
      <x:c r="C52" s="26"/>
      <x:c r="D52" s="26"/>
      <x:c r="E52" s="27"/>
      <x:c r="F52" s="38" t="str">
        <x:f>IF(OR(D52="",E52=""),"",D52*E52)</x:f>
      </x:c>
      <x:c r="G52" s="26"/>
      <x:c r="H52" s="26"/>
    </x:row>
    <x:row r="53" ht="20" customHeight="1">
      <x:c r="A53" s="29"/>
      <x:c r="B53" s="26"/>
      <x:c r="C53" s="26"/>
      <x:c r="D53" s="26"/>
      <x:c r="E53" s="27"/>
      <x:c r="F53" s="38" t="str">
        <x:f>IF(OR(D53="",E53=""),"",D53*E53)</x:f>
      </x:c>
      <x:c r="G53" s="26"/>
      <x:c r="H53" s="26"/>
    </x:row>
    <x:row r="54" ht="20" customHeight="1">
      <x:c r="A54" s="29"/>
      <x:c r="B54" s="26"/>
      <x:c r="C54" s="26"/>
      <x:c r="D54" s="26"/>
      <x:c r="E54" s="27"/>
      <x:c r="F54" s="38" t="str">
        <x:f>IF(OR(D54="",E54=""),"",D54*E54)</x:f>
      </x:c>
      <x:c r="G54" s="26"/>
      <x:c r="H54" s="26"/>
    </x:row>
    <x:row r="55" ht="20" customHeight="1">
      <x:c r="A55" s="29"/>
      <x:c r="B55" s="26"/>
      <x:c r="C55" s="26"/>
      <x:c r="D55" s="26"/>
      <x:c r="E55" s="27"/>
      <x:c r="F55" s="38" t="str">
        <x:f>IF(OR(D55="",E55=""),"",D55*E55)</x:f>
      </x:c>
      <x:c r="G55" s="26"/>
      <x:c r="H55" s="26"/>
    </x:row>
    <x:row r="56" ht="20" customHeight="1">
      <x:c r="A56" s="29"/>
      <x:c r="B56" s="26"/>
      <x:c r="C56" s="26"/>
      <x:c r="D56" s="26"/>
      <x:c r="E56" s="27"/>
      <x:c r="F56" s="38" t="str">
        <x:f>IF(OR(D56="",E56=""),"",D56*E56)</x:f>
      </x:c>
      <x:c r="G56" s="26"/>
      <x:c r="H56" s="26"/>
    </x:row>
    <x:row r="57" ht="20" customHeight="1">
      <x:c r="A57" s="29"/>
      <x:c r="B57" s="26"/>
      <x:c r="C57" s="26"/>
      <x:c r="D57" s="26"/>
      <x:c r="E57" s="27"/>
      <x:c r="F57" s="38" t="str">
        <x:f>IF(OR(D57="",E57=""),"",D57*E57)</x:f>
      </x:c>
      <x:c r="G57" s="26"/>
      <x:c r="H57" s="26"/>
    </x:row>
    <x:row r="58" ht="20" customHeight="1">
      <x:c r="A58" s="29"/>
      <x:c r="B58" s="26"/>
      <x:c r="C58" s="26"/>
      <x:c r="D58" s="26"/>
      <x:c r="E58" s="27"/>
      <x:c r="F58" s="38" t="str">
        <x:f>IF(OR(D58="",E58=""),"",D58*E58)</x:f>
      </x:c>
      <x:c r="G58" s="26"/>
      <x:c r="H58" s="26"/>
    </x:row>
    <x:row r="59" ht="20" customHeight="1">
      <x:c r="A59" s="29"/>
      <x:c r="B59" s="26"/>
      <x:c r="C59" s="26"/>
      <x:c r="D59" s="26"/>
      <x:c r="E59" s="27"/>
      <x:c r="F59" s="38" t="str">
        <x:f>IF(OR(D59="",E59=""),"",D59*E59)</x:f>
      </x:c>
      <x:c r="G59" s="26"/>
      <x:c r="H59" s="26"/>
    </x:row>
    <x:row r="60" ht="20" customHeight="1">
      <x:c r="A60" s="29"/>
      <x:c r="B60" s="26"/>
      <x:c r="C60" s="26"/>
      <x:c r="D60" s="26"/>
      <x:c r="E60" s="27"/>
      <x:c r="F60" s="38" t="str">
        <x:f>IF(OR(D60="",E60=""),"",D60*E60)</x:f>
      </x:c>
      <x:c r="G60" s="26"/>
      <x:c r="H60" s="26"/>
    </x:row>
    <x:row r="61" ht="20" customHeight="1">
      <x:c r="A61" s="29"/>
      <x:c r="B61" s="26"/>
      <x:c r="C61" s="26"/>
      <x:c r="D61" s="26"/>
      <x:c r="E61" s="27"/>
      <x:c r="F61" s="38" t="str">
        <x:f>IF(OR(D61="",E61=""),"",D61*E61)</x:f>
      </x:c>
      <x:c r="G61" s="26"/>
      <x:c r="H61" s="26"/>
    </x:row>
    <x:row r="62" ht="20" customHeight="1">
      <x:c r="A62" s="29"/>
      <x:c r="B62" s="26"/>
      <x:c r="C62" s="26"/>
      <x:c r="D62" s="26"/>
      <x:c r="E62" s="27"/>
      <x:c r="F62" s="38" t="str">
        <x:f>IF(OR(D62="",E62=""),"",D62*E62)</x:f>
      </x:c>
      <x:c r="G62" s="26"/>
      <x:c r="H62" s="26"/>
    </x:row>
    <x:row r="63" ht="20" customHeight="1">
      <x:c r="A63" s="29"/>
      <x:c r="B63" s="26"/>
      <x:c r="C63" s="26"/>
      <x:c r="D63" s="26"/>
      <x:c r="E63" s="27"/>
      <x:c r="F63" s="38" t="str">
        <x:f>IF(OR(D63="",E63=""),"",D63*E63)</x:f>
      </x:c>
      <x:c r="G63" s="26"/>
      <x:c r="H63" s="26"/>
    </x:row>
    <x:row r="64" ht="20" customHeight="1">
      <x:c r="A64" s="29"/>
      <x:c r="B64" s="26"/>
      <x:c r="C64" s="26"/>
      <x:c r="D64" s="26"/>
      <x:c r="E64" s="27"/>
      <x:c r="F64" s="38" t="str">
        <x:f>IF(OR(D64="",E64=""),"",D64*E64)</x:f>
      </x:c>
      <x:c r="G64" s="26"/>
      <x:c r="H64" s="26"/>
    </x:row>
    <x:row r="65" ht="20" customHeight="1">
      <x:c r="A65" s="29"/>
      <x:c r="B65" s="26"/>
      <x:c r="C65" s="26"/>
      <x:c r="D65" s="26"/>
      <x:c r="E65" s="27"/>
      <x:c r="F65" s="38" t="str">
        <x:f>IF(OR(D65="",E65=""),"",D65*E65)</x:f>
      </x:c>
      <x:c r="G65" s="26"/>
      <x:c r="H65" s="26"/>
    </x:row>
    <x:row r="66" ht="20" customHeight="1">
      <x:c r="A66" s="29"/>
      <x:c r="B66" s="26"/>
      <x:c r="C66" s="26"/>
      <x:c r="D66" s="26"/>
      <x:c r="E66" s="27"/>
      <x:c r="F66" s="38" t="str">
        <x:f>IF(OR(D66="",E66=""),"",D66*E66)</x:f>
      </x:c>
      <x:c r="G66" s="26"/>
      <x:c r="H66" s="26"/>
    </x:row>
    <x:row r="67" ht="20" customHeight="1">
      <x:c r="A67" s="29"/>
      <x:c r="B67" s="26"/>
      <x:c r="C67" s="26"/>
      <x:c r="D67" s="26"/>
      <x:c r="E67" s="27"/>
      <x:c r="F67" s="38" t="str">
        <x:f>IF(OR(D67="",E67=""),"",D67*E67)</x:f>
      </x:c>
      <x:c r="G67" s="26"/>
      <x:c r="H67" s="26"/>
    </x:row>
    <x:row r="68" ht="20" customHeight="1">
      <x:c r="A68" s="29"/>
      <x:c r="B68" s="26"/>
      <x:c r="C68" s="26"/>
      <x:c r="D68" s="26"/>
      <x:c r="E68" s="27"/>
      <x:c r="F68" s="38" t="str">
        <x:f>IF(OR(D68="",E68=""),"",D68*E68)</x:f>
      </x:c>
      <x:c r="G68" s="26"/>
      <x:c r="H68" s="26"/>
    </x:row>
    <x:row r="69" ht="20" customHeight="1">
      <x:c r="A69" s="29"/>
      <x:c r="B69" s="26"/>
      <x:c r="C69" s="26"/>
      <x:c r="D69" s="26"/>
      <x:c r="E69" s="27"/>
      <x:c r="F69" s="38" t="str">
        <x:f>IF(OR(D69="",E69=""),"",D69*E69)</x:f>
      </x:c>
      <x:c r="G69" s="26"/>
      <x:c r="H69" s="26"/>
    </x:row>
    <x:row r="70" ht="20" customHeight="1">
      <x:c r="A70" s="29"/>
      <x:c r="B70" s="26"/>
      <x:c r="C70" s="26"/>
      <x:c r="D70" s="26"/>
      <x:c r="E70" s="27"/>
      <x:c r="F70" s="38" t="str">
        <x:f>IF(OR(D70="",E70=""),"",D70*E70)</x:f>
      </x:c>
      <x:c r="G70" s="26"/>
      <x:c r="H70" s="26"/>
    </x:row>
    <x:row r="71" ht="20" customHeight="1">
      <x:c r="A71" s="29"/>
      <x:c r="B71" s="26"/>
      <x:c r="C71" s="26"/>
      <x:c r="D71" s="26"/>
      <x:c r="E71" s="27"/>
      <x:c r="F71" s="38" t="str">
        <x:f>IF(OR(D71="",E71=""),"",D71*E71)</x:f>
      </x:c>
      <x:c r="G71" s="26"/>
      <x:c r="H71" s="26"/>
    </x:row>
    <x:row r="72" ht="20" customHeight="1">
      <x:c r="A72" s="29"/>
      <x:c r="B72" s="26"/>
      <x:c r="C72" s="26"/>
      <x:c r="D72" s="26"/>
      <x:c r="E72" s="27"/>
      <x:c r="F72" s="38" t="str">
        <x:f>IF(OR(D72="",E72=""),"",D72*E72)</x:f>
      </x:c>
      <x:c r="G72" s="26"/>
      <x:c r="H72" s="26"/>
    </x:row>
    <x:row r="73" ht="20" customHeight="1">
      <x:c r="A73" s="29"/>
      <x:c r="B73" s="26"/>
      <x:c r="C73" s="26"/>
      <x:c r="D73" s="26"/>
      <x:c r="E73" s="27"/>
      <x:c r="F73" s="38" t="str">
        <x:f>IF(OR(D73="",E73=""),"",D73*E73)</x:f>
      </x:c>
      <x:c r="G73" s="26"/>
      <x:c r="H73" s="26"/>
    </x:row>
    <x:row r="74" ht="20" customHeight="1">
      <x:c r="A74" s="29"/>
      <x:c r="B74" s="26"/>
      <x:c r="C74" s="26"/>
      <x:c r="D74" s="26"/>
      <x:c r="E74" s="27"/>
      <x:c r="F74" s="38" t="str">
        <x:f>IF(OR(D74="",E74=""),"",D74*E74)</x:f>
      </x:c>
      <x:c r="G74" s="26"/>
      <x:c r="H74" s="26"/>
    </x:row>
    <x:row r="75" ht="20" customHeight="1">
      <x:c r="A75" s="29"/>
      <x:c r="B75" s="26"/>
      <x:c r="C75" s="26"/>
      <x:c r="D75" s="26"/>
      <x:c r="E75" s="27"/>
      <x:c r="F75" s="38" t="str">
        <x:f>IF(OR(D75="",E75=""),"",D75*E75)</x:f>
      </x:c>
      <x:c r="G75" s="26"/>
      <x:c r="H75" s="26"/>
    </x:row>
    <x:row r="76" ht="20" customHeight="1">
      <x:c r="A76" s="29"/>
      <x:c r="B76" s="26"/>
      <x:c r="C76" s="26"/>
      <x:c r="D76" s="26"/>
      <x:c r="E76" s="27"/>
      <x:c r="F76" s="38" t="str">
        <x:f>IF(OR(D76="",E76=""),"",D76*E76)</x:f>
      </x:c>
      <x:c r="G76" s="26"/>
      <x:c r="H76" s="26"/>
    </x:row>
    <x:row r="77" ht="20" customHeight="1">
      <x:c r="A77" s="29"/>
      <x:c r="B77" s="26"/>
      <x:c r="C77" s="26"/>
      <x:c r="D77" s="26"/>
      <x:c r="E77" s="27"/>
      <x:c r="F77" s="38" t="str">
        <x:f>IF(OR(D77="",E77=""),"",D77*E77)</x:f>
      </x:c>
      <x:c r="G77" s="26"/>
      <x:c r="H77" s="26"/>
    </x:row>
    <x:row r="78" ht="20" customHeight="1">
      <x:c r="A78" s="29"/>
      <x:c r="B78" s="26"/>
      <x:c r="C78" s="26"/>
      <x:c r="D78" s="26"/>
      <x:c r="E78" s="27"/>
      <x:c r="F78" s="38" t="str">
        <x:f>IF(OR(D78="",E78=""),"",D78*E78)</x:f>
      </x:c>
      <x:c r="G78" s="26"/>
      <x:c r="H78" s="26"/>
    </x:row>
    <x:row r="79" ht="20" customHeight="1">
      <x:c r="A79" s="29"/>
      <x:c r="B79" s="26"/>
      <x:c r="C79" s="26"/>
      <x:c r="D79" s="26"/>
      <x:c r="E79" s="27"/>
      <x:c r="F79" s="38" t="str">
        <x:f>IF(OR(D79="",E79=""),"",D79*E79)</x:f>
      </x:c>
      <x:c r="G79" s="26"/>
      <x:c r="H79" s="26"/>
    </x:row>
    <x:row r="80" ht="20" customHeight="1">
      <x:c r="A80" s="29"/>
      <x:c r="B80" s="26"/>
      <x:c r="C80" s="26"/>
      <x:c r="D80" s="26"/>
      <x:c r="E80" s="27"/>
      <x:c r="F80" s="38" t="str">
        <x:f>IF(OR(D80="",E80=""),"",D80*E80)</x:f>
      </x:c>
      <x:c r="G80" s="26"/>
      <x:c r="H80" s="26"/>
    </x:row>
    <x:row r="81" ht="20" customHeight="1">
      <x:c r="A81" s="29"/>
      <x:c r="B81" s="26"/>
      <x:c r="C81" s="26"/>
      <x:c r="D81" s="26"/>
      <x:c r="E81" s="27"/>
      <x:c r="F81" s="38" t="str">
        <x:f>IF(OR(D81="",E81=""),"",D81*E81)</x:f>
      </x:c>
      <x:c r="G81" s="26"/>
      <x:c r="H81" s="26"/>
    </x:row>
    <x:row r="82" ht="20" customHeight="1">
      <x:c r="A82" s="29"/>
      <x:c r="B82" s="26"/>
      <x:c r="C82" s="26"/>
      <x:c r="D82" s="26"/>
      <x:c r="E82" s="27"/>
      <x:c r="F82" s="38" t="str">
        <x:f>IF(OR(D82="",E82=""),"",D82*E82)</x:f>
      </x:c>
      <x:c r="G82" s="26"/>
      <x:c r="H82" s="26"/>
    </x:row>
    <x:row r="83" ht="20" customHeight="1">
      <x:c r="A83" s="29"/>
      <x:c r="B83" s="26"/>
      <x:c r="C83" s="26"/>
      <x:c r="D83" s="26"/>
      <x:c r="E83" s="27"/>
      <x:c r="F83" s="38" t="str">
        <x:f>IF(OR(D83="",E83=""),"",D83*E83)</x:f>
      </x:c>
      <x:c r="G83" s="26"/>
      <x:c r="H83" s="26"/>
    </x:row>
    <x:row r="84" ht="20" customHeight="1">
      <x:c r="A84" s="29"/>
      <x:c r="B84" s="26"/>
      <x:c r="C84" s="26"/>
      <x:c r="D84" s="26"/>
      <x:c r="E84" s="27"/>
      <x:c r="F84" s="38" t="str">
        <x:f>IF(OR(D84="",E84=""),"",D84*E84)</x:f>
      </x:c>
      <x:c r="G84" s="26"/>
      <x:c r="H84" s="26"/>
    </x:row>
    <x:row r="85" ht="20" customHeight="1">
      <x:c r="A85" s="29"/>
      <x:c r="B85" s="26"/>
      <x:c r="C85" s="26"/>
      <x:c r="D85" s="26"/>
      <x:c r="E85" s="27"/>
      <x:c r="F85" s="38" t="str">
        <x:f>IF(OR(D85="",E85=""),"",D85*E85)</x:f>
      </x:c>
      <x:c r="G85" s="26"/>
      <x:c r="H85" s="26"/>
    </x:row>
    <x:row r="86" ht="20" customHeight="1">
      <x:c r="A86" s="29"/>
      <x:c r="B86" s="26"/>
      <x:c r="C86" s="26"/>
      <x:c r="D86" s="26"/>
      <x:c r="E86" s="27"/>
      <x:c r="F86" s="38" t="str">
        <x:f>IF(OR(D86="",E86=""),"",D86*E86)</x:f>
      </x:c>
      <x:c r="G86" s="26"/>
      <x:c r="H86" s="26"/>
    </x:row>
    <x:row r="87" ht="20" customHeight="1">
      <x:c r="A87" s="29"/>
      <x:c r="B87" s="26"/>
      <x:c r="C87" s="26"/>
      <x:c r="D87" s="26"/>
      <x:c r="E87" s="27"/>
      <x:c r="F87" s="38" t="str">
        <x:f>IF(OR(D87="",E87=""),"",D87*E87)</x:f>
      </x:c>
      <x:c r="G87" s="26"/>
      <x:c r="H87" s="26"/>
    </x:row>
    <x:row r="88" ht="20" customHeight="1">
      <x:c r="A88" s="29"/>
      <x:c r="B88" s="26"/>
      <x:c r="C88" s="26"/>
      <x:c r="D88" s="26"/>
      <x:c r="E88" s="27"/>
      <x:c r="F88" s="38" t="str">
        <x:f>IF(OR(D88="",E88=""),"",D88*E88)</x:f>
      </x:c>
      <x:c r="G88" s="26"/>
      <x:c r="H88" s="26"/>
    </x:row>
    <x:row r="89" ht="20" customHeight="1">
      <x:c r="A89" s="29"/>
      <x:c r="B89" s="26"/>
      <x:c r="C89" s="26"/>
      <x:c r="D89" s="26"/>
      <x:c r="E89" s="27"/>
      <x:c r="F89" s="38" t="str">
        <x:f>IF(OR(D89="",E89=""),"",D89*E89)</x:f>
      </x:c>
      <x:c r="G89" s="26"/>
      <x:c r="H89" s="26"/>
    </x:row>
    <x:row r="90" ht="20" customHeight="1">
      <x:c r="A90" s="29"/>
      <x:c r="B90" s="26"/>
      <x:c r="C90" s="26"/>
      <x:c r="D90" s="26"/>
      <x:c r="E90" s="27"/>
      <x:c r="F90" s="38" t="str">
        <x:f>IF(OR(D90="",E90=""),"",D90*E90)</x:f>
      </x:c>
      <x:c r="G90" s="26"/>
      <x:c r="H90" s="26"/>
    </x:row>
    <x:row r="91" ht="20" customHeight="1">
      <x:c r="A91" s="29"/>
      <x:c r="B91" s="26"/>
      <x:c r="C91" s="26"/>
      <x:c r="D91" s="26"/>
      <x:c r="E91" s="27"/>
      <x:c r="F91" s="38" t="str">
        <x:f>IF(OR(D91="",E91=""),"",D91*E91)</x:f>
      </x:c>
      <x:c r="G91" s="26"/>
      <x:c r="H91" s="26"/>
    </x:row>
    <x:row r="92" ht="20" customHeight="1">
      <x:c r="A92" s="29"/>
      <x:c r="B92" s="26"/>
      <x:c r="C92" s="26"/>
      <x:c r="D92" s="26"/>
      <x:c r="E92" s="27"/>
      <x:c r="F92" s="38" t="str">
        <x:f>IF(OR(D92="",E92=""),"",D92*E92)</x:f>
      </x:c>
      <x:c r="G92" s="26"/>
      <x:c r="H92" s="26"/>
    </x:row>
    <x:row r="93" ht="20" customHeight="1">
      <x:c r="A93" s="29"/>
      <x:c r="B93" s="26"/>
      <x:c r="C93" s="26"/>
      <x:c r="D93" s="26"/>
      <x:c r="E93" s="27"/>
      <x:c r="F93" s="38" t="str">
        <x:f>IF(OR(D93="",E93=""),"",D93*E93)</x:f>
      </x:c>
      <x:c r="G93" s="26"/>
      <x:c r="H93" s="26"/>
    </x:row>
    <x:row r="94" ht="20" customHeight="1">
      <x:c r="A94" s="29"/>
      <x:c r="B94" s="26"/>
      <x:c r="C94" s="26"/>
      <x:c r="D94" s="26"/>
      <x:c r="E94" s="27"/>
      <x:c r="F94" s="38" t="str">
        <x:f>IF(OR(D94="",E94=""),"",D94*E94)</x:f>
      </x:c>
      <x:c r="G94" s="26"/>
      <x:c r="H94" s="26"/>
    </x:row>
    <x:row r="95" ht="20" customHeight="1">
      <x:c r="A95" s="29"/>
      <x:c r="B95" s="26"/>
      <x:c r="C95" s="26"/>
      <x:c r="D95" s="26"/>
      <x:c r="E95" s="27"/>
      <x:c r="F95" s="38" t="str">
        <x:f>IF(OR(D95="",E95=""),"",D95*E95)</x:f>
      </x:c>
      <x:c r="G95" s="26"/>
      <x:c r="H95" s="26"/>
    </x:row>
    <x:row r="96" ht="20" customHeight="1">
      <x:c r="A96" s="29"/>
      <x:c r="B96" s="26"/>
      <x:c r="C96" s="26"/>
      <x:c r="D96" s="26"/>
      <x:c r="E96" s="27"/>
      <x:c r="F96" s="38" t="str">
        <x:f>IF(OR(D96="",E96=""),"",D96*E96)</x:f>
      </x:c>
      <x:c r="G96" s="26"/>
      <x:c r="H96" s="26"/>
    </x:row>
    <x:row r="97" ht="20" customHeight="1">
      <x:c r="A97" s="29"/>
      <x:c r="B97" s="26"/>
      <x:c r="C97" s="26"/>
      <x:c r="D97" s="26"/>
      <x:c r="E97" s="27"/>
      <x:c r="F97" s="38" t="str">
        <x:f>IF(OR(D97="",E97=""),"",D97*E97)</x:f>
      </x:c>
      <x:c r="G97" s="26"/>
      <x:c r="H97" s="26"/>
    </x:row>
    <x:row r="98" ht="20" customHeight="1">
      <x:c r="A98" s="29"/>
      <x:c r="B98" s="26"/>
      <x:c r="C98" s="26"/>
      <x:c r="D98" s="26"/>
      <x:c r="E98" s="27"/>
      <x:c r="F98" s="38" t="str">
        <x:f>IF(OR(D98="",E98=""),"",D98*E98)</x:f>
      </x:c>
      <x:c r="G98" s="26"/>
      <x:c r="H98" s="26"/>
    </x:row>
    <x:row r="99" ht="20" customHeight="1">
      <x:c r="A99" s="29"/>
      <x:c r="B99" s="26"/>
      <x:c r="C99" s="26"/>
      <x:c r="D99" s="26"/>
      <x:c r="E99" s="27"/>
      <x:c r="F99" s="38" t="str">
        <x:f>IF(OR(D99="",E99=""),"",D99*E99)</x:f>
      </x:c>
      <x:c r="G99" s="26"/>
      <x:c r="H99" s="26"/>
    </x:row>
    <x:row r="100" ht="20" customHeight="1">
      <x:c r="A100" s="29"/>
      <x:c r="B100" s="26"/>
      <x:c r="C100" s="26"/>
      <x:c r="D100" s="26"/>
      <x:c r="E100" s="27"/>
      <x:c r="F100" s="38" t="str">
        <x:f>IF(OR(D100="",E100=""),"",D100*E100)</x:f>
      </x:c>
      <x:c r="G100" s="26"/>
      <x:c r="H100" s="26"/>
    </x:row>
    <x:row r="101" ht="20" customHeight="1">
      <x:c r="A101" s="29"/>
      <x:c r="B101" s="26"/>
      <x:c r="C101" s="26"/>
      <x:c r="D101" s="26"/>
      <x:c r="E101" s="27"/>
      <x:c r="F101" s="38" t="str">
        <x:f>IF(OR(D101="",E101=""),"",D101*E101)</x:f>
      </x:c>
      <x:c r="G101" s="26"/>
      <x:c r="H101" s="26"/>
    </x:row>
    <x:row r="102" ht="20" customHeight="1">
      <x:c r="A102" s="29"/>
      <x:c r="B102" s="26"/>
      <x:c r="C102" s="26"/>
      <x:c r="D102" s="26"/>
      <x:c r="E102" s="27"/>
      <x:c r="F102" s="38" t="str">
        <x:f>IF(OR(D102="",E102=""),"",D102*E102)</x:f>
      </x:c>
      <x:c r="G102" s="26"/>
      <x:c r="H102" s="26"/>
    </x:row>
    <x:row r="103" ht="20" customHeight="1">
      <x:c r="A103" s="29"/>
      <x:c r="B103" s="26"/>
      <x:c r="C103" s="26"/>
      <x:c r="D103" s="26"/>
      <x:c r="E103" s="27"/>
      <x:c r="F103" s="38" t="str">
        <x:f>IF(OR(D103="",E103=""),"",D103*E103)</x:f>
      </x:c>
      <x:c r="G103" s="26"/>
      <x:c r="H103" s="26"/>
    </x:row>
    <x:row r="104">
      <x:c r="A104" s="29"/>
      <x:c r="B104" s="26"/>
      <x:c r="C104" s="26"/>
      <x:c r="D104" s="26"/>
      <x:c r="E104" s="27"/>
      <x:c r="F104" s="38" t="str">
        <x:f>IF(OR(D104="",E104=""),"",D104*E104)</x:f>
      </x:c>
      <x:c r="G104" s="26"/>
      <x:c r="H104" s="26"/>
    </x:row>
    <x:row r="105">
      <x:c r="A105" s="29"/>
      <x:c r="B105" s="26"/>
      <x:c r="C105" s="26"/>
      <x:c r="D105" s="26"/>
      <x:c r="E105" s="27"/>
      <x:c r="F105" s="38" t="str">
        <x:f>IF(OR(D105="",E105=""),"",D105*E105)</x:f>
      </x:c>
      <x:c r="G105" s="26"/>
      <x:c r="H105" s="26"/>
    </x:row>
    <x:row r="106">
      <x:c r="A106" s="29"/>
      <x:c r="B106" s="26"/>
      <x:c r="C106" s="26"/>
      <x:c r="D106" s="26"/>
      <x:c r="E106" s="27"/>
      <x:c r="F106" s="38" t="str">
        <x:f>IF(OR(D106="",E106=""),"",D106*E106)</x:f>
      </x:c>
      <x:c r="G106" s="26"/>
      <x:c r="H106" s="26"/>
    </x:row>
    <x:row r="107">
      <x:c r="A107" s="29"/>
      <x:c r="B107" s="26"/>
      <x:c r="C107" s="26"/>
      <x:c r="D107" s="26"/>
      <x:c r="E107" s="27"/>
      <x:c r="F107" s="38" t="str">
        <x:f>IF(OR(D107="",E107=""),"",D107*E107)</x:f>
      </x:c>
      <x:c r="G107" s="26"/>
      <x:c r="H107" s="26"/>
    </x:row>
    <x:row r="108">
      <x:c r="A108" s="29"/>
      <x:c r="B108" s="26"/>
      <x:c r="C108" s="26"/>
      <x:c r="D108" s="26"/>
      <x:c r="E108" s="27"/>
      <x:c r="F108" s="38" t="str">
        <x:f>IF(OR(D108="",E108=""),"",D108*E108)</x:f>
      </x:c>
      <x:c r="G108" s="26"/>
      <x:c r="H108" s="26"/>
    </x:row>
    <x:row r="109">
      <x:c r="A109" s="29"/>
      <x:c r="B109" s="26"/>
      <x:c r="C109" s="26"/>
      <x:c r="D109" s="26"/>
      <x:c r="E109" s="27"/>
      <x:c r="F109" s="38" t="str">
        <x:f>IF(OR(D109="",E109=""),"",D109*E109)</x:f>
      </x:c>
      <x:c r="G109" s="26"/>
      <x:c r="H109" s="26"/>
    </x:row>
    <x:row r="110">
      <x:c r="A110" s="29"/>
      <x:c r="B110" s="26"/>
      <x:c r="C110" s="26"/>
      <x:c r="D110" s="26"/>
      <x:c r="E110" s="27"/>
      <x:c r="F110" s="38" t="str">
        <x:f>IF(OR(D110="",E110=""),"",D110*E110)</x:f>
      </x:c>
      <x:c r="G110" s="26"/>
      <x:c r="H110" s="26"/>
    </x:row>
    <x:row r="111">
      <x:c r="A111" s="29"/>
      <x:c r="B111" s="26"/>
      <x:c r="C111" s="26"/>
      <x:c r="D111" s="26"/>
      <x:c r="E111" s="27"/>
      <x:c r="F111" s="38" t="str">
        <x:f>IF(OR(D111="",E111=""),"",D111*E111)</x:f>
      </x:c>
      <x:c r="G111" s="26"/>
      <x:c r="H111" s="26"/>
    </x:row>
    <x:row r="112">
      <x:c r="A112" s="29"/>
      <x:c r="B112" s="26"/>
      <x:c r="C112" s="26"/>
      <x:c r="D112" s="26"/>
      <x:c r="E112" s="27"/>
      <x:c r="F112" s="38" t="str">
        <x:f>IF(OR(D112="",E112=""),"",D112*E112)</x:f>
      </x:c>
      <x:c r="G112" s="26"/>
      <x:c r="H112" s="26"/>
    </x:row>
    <x:row r="113">
      <x:c r="A113" s="29"/>
      <x:c r="B113" s="26"/>
      <x:c r="C113" s="26"/>
      <x:c r="D113" s="26"/>
      <x:c r="E113" s="27"/>
      <x:c r="F113" s="38" t="str">
        <x:f>IF(OR(D113="",E113=""),"",D113*E113)</x:f>
      </x:c>
      <x:c r="G113" s="26"/>
      <x:c r="H113" s="26"/>
    </x:row>
    <x:row r="114">
      <x:c r="A114" s="29"/>
      <x:c r="B114" s="26"/>
      <x:c r="C114" s="26"/>
      <x:c r="D114" s="26"/>
      <x:c r="E114" s="27"/>
      <x:c r="F114" s="38" t="str">
        <x:f>IF(OR(D114="",E114=""),"",D114*E114)</x:f>
      </x:c>
      <x:c r="G114" s="26"/>
      <x:c r="H114" s="26"/>
    </x:row>
    <x:row r="115">
      <x:c r="A115" s="29"/>
      <x:c r="B115" s="26"/>
      <x:c r="C115" s="26"/>
      <x:c r="D115" s="26"/>
      <x:c r="E115" s="27"/>
      <x:c r="F115" s="38" t="str">
        <x:f>IF(OR(D115="",E115=""),"",D115*E115)</x:f>
      </x:c>
      <x:c r="G115" s="26"/>
      <x:c r="H115" s="26"/>
    </x:row>
    <x:row r="116">
      <x:c r="A116" s="29"/>
      <x:c r="B116" s="26"/>
      <x:c r="C116" s="26"/>
      <x:c r="D116" s="26"/>
      <x:c r="E116" s="27"/>
      <x:c r="F116" s="38" t="str">
        <x:f>IF(OR(D116="",E116=""),"",D116*E116)</x:f>
      </x:c>
      <x:c r="G116" s="26"/>
      <x:c r="H116" s="26"/>
    </x:row>
    <x:row r="117">
      <x:c r="A117" s="29"/>
      <x:c r="B117" s="26"/>
      <x:c r="C117" s="26"/>
      <x:c r="D117" s="26"/>
      <x:c r="E117" s="27"/>
      <x:c r="F117" s="38" t="str">
        <x:f>IF(OR(D117="",E117=""),"",D117*E117)</x:f>
      </x:c>
      <x:c r="G117" s="26"/>
      <x:c r="H117" s="26"/>
    </x:row>
    <x:row r="118">
      <x:c r="A118" s="29"/>
      <x:c r="B118" s="26"/>
      <x:c r="C118" s="26"/>
      <x:c r="D118" s="26"/>
      <x:c r="E118" s="27"/>
      <x:c r="F118" s="38" t="str">
        <x:f>IF(OR(D118="",E118=""),"",D118*E118)</x:f>
      </x:c>
      <x:c r="G118" s="26"/>
      <x:c r="H118" s="26"/>
    </x:row>
    <x:row r="119">
      <x:c r="A119" s="29"/>
      <x:c r="B119" s="26"/>
      <x:c r="C119" s="26"/>
      <x:c r="D119" s="26"/>
      <x:c r="E119" s="27"/>
      <x:c r="F119" s="38" t="str">
        <x:f>IF(OR(D119="",E119=""),"",D119*E119)</x:f>
      </x:c>
      <x:c r="G119" s="26"/>
      <x:c r="H119" s="26"/>
    </x:row>
    <x:row r="120">
      <x:c r="A120" s="29"/>
      <x:c r="B120" s="26"/>
      <x:c r="C120" s="26"/>
      <x:c r="D120" s="26"/>
      <x:c r="E120" s="27"/>
      <x:c r="F120" s="38" t="str">
        <x:f>IF(OR(D120="",E120=""),"",D120*E120)</x:f>
      </x:c>
      <x:c r="G120" s="26"/>
      <x:c r="H120" s="26"/>
    </x:row>
    <x:row r="121">
      <x:c r="A121" s="29"/>
      <x:c r="B121" s="26"/>
      <x:c r="C121" s="26"/>
      <x:c r="D121" s="26"/>
      <x:c r="E121" s="27"/>
      <x:c r="F121" s="38" t="str">
        <x:f>IF(OR(D121="",E121=""),"",D121*E121)</x:f>
      </x:c>
      <x:c r="G121" s="26"/>
      <x:c r="H121" s="26"/>
    </x:row>
    <x:row r="122">
      <x:c r="A122" s="29"/>
      <x:c r="B122" s="26"/>
      <x:c r="C122" s="26"/>
      <x:c r="D122" s="26"/>
      <x:c r="E122" s="27"/>
      <x:c r="F122" s="38" t="str">
        <x:f>IF(OR(D122="",E122=""),"",D122*E122)</x:f>
      </x:c>
      <x:c r="G122" s="26"/>
      <x:c r="H122" s="26"/>
    </x:row>
    <x:row r="123">
      <x:c r="A123" s="29"/>
      <x:c r="B123" s="26"/>
      <x:c r="C123" s="26"/>
      <x:c r="D123" s="26"/>
      <x:c r="E123" s="27"/>
      <x:c r="F123" s="38" t="str">
        <x:f>IF(OR(D123="",E123=""),"",D123*E123)</x:f>
      </x:c>
      <x:c r="G123" s="26"/>
      <x:c r="H123" s="26"/>
    </x:row>
    <x:row r="124">
      <x:c r="A124" s="29"/>
      <x:c r="B124" s="26"/>
      <x:c r="C124" s="26"/>
      <x:c r="D124" s="26"/>
      <x:c r="E124" s="27"/>
      <x:c r="F124" s="38" t="str">
        <x:f>IF(OR(D124="",E124=""),"",D124*E124)</x:f>
      </x:c>
      <x:c r="G124" s="26"/>
      <x:c r="H124" s="26"/>
    </x:row>
    <x:row r="125">
      <x:c r="A125" s="29"/>
      <x:c r="B125" s="26"/>
      <x:c r="C125" s="26"/>
      <x:c r="D125" s="26"/>
      <x:c r="E125" s="27"/>
      <x:c r="F125" s="38" t="str">
        <x:f>IF(OR(D125="",E125=""),"",D125*E125)</x:f>
      </x:c>
      <x:c r="G125" s="26"/>
      <x:c r="H125" s="26"/>
    </x:row>
    <x:row r="126">
      <x:c r="A126" s="29"/>
      <x:c r="B126" s="26"/>
      <x:c r="C126" s="26"/>
      <x:c r="D126" s="26"/>
      <x:c r="E126" s="27"/>
      <x:c r="F126" s="38" t="str">
        <x:f>IF(OR(D126="",E126=""),"",D126*E126)</x:f>
      </x:c>
      <x:c r="G126" s="26"/>
      <x:c r="H126" s="26"/>
    </x:row>
    <x:row r="127">
      <x:c r="A127" s="29"/>
      <x:c r="B127" s="26"/>
      <x:c r="C127" s="26"/>
      <x:c r="D127" s="26"/>
      <x:c r="E127" s="27"/>
      <x:c r="F127" s="38" t="str">
        <x:f>IF(OR(D127="",E127=""),"",D127*E127)</x:f>
      </x:c>
      <x:c r="G127" s="26"/>
      <x:c r="H127" s="26"/>
    </x:row>
    <x:row r="128">
      <x:c r="A128" s="29"/>
      <x:c r="B128" s="26"/>
      <x:c r="C128" s="26"/>
      <x:c r="D128" s="26"/>
      <x:c r="E128" s="27"/>
      <x:c r="F128" s="38" t="str">
        <x:f>IF(OR(D128="",E128=""),"",D128*E128)</x:f>
      </x:c>
      <x:c r="G128" s="26"/>
      <x:c r="H128" s="26"/>
    </x:row>
    <x:row r="129">
      <x:c r="A129" s="29"/>
      <x:c r="B129" s="26"/>
      <x:c r="C129" s="26"/>
      <x:c r="D129" s="26"/>
      <x:c r="E129" s="27"/>
      <x:c r="F129" s="38" t="str">
        <x:f>IF(OR(D129="",E129=""),"",D129*E129)</x:f>
      </x:c>
      <x:c r="G129" s="26"/>
      <x:c r="H129" s="26"/>
    </x:row>
    <x:row r="130">
      <x:c r="A130" s="29"/>
      <x:c r="B130" s="26"/>
      <x:c r="C130" s="26"/>
      <x:c r="D130" s="26"/>
      <x:c r="E130" s="27"/>
      <x:c r="F130" s="38" t="str">
        <x:f>IF(OR(D130="",E130=""),"",D130*E130)</x:f>
      </x:c>
      <x:c r="G130" s="26"/>
      <x:c r="H130" s="26"/>
    </x:row>
    <x:row r="131">
      <x:c r="A131" s="29"/>
      <x:c r="B131" s="26"/>
      <x:c r="C131" s="26"/>
      <x:c r="D131" s="26"/>
      <x:c r="E131" s="27"/>
      <x:c r="F131" s="38" t="str">
        <x:f>IF(OR(D131="",E131=""),"",D131*E131)</x:f>
      </x:c>
      <x:c r="G131" s="26"/>
      <x:c r="H131" s="26"/>
    </x:row>
    <x:row r="132">
      <x:c r="A132" s="29"/>
      <x:c r="B132" s="26"/>
      <x:c r="C132" s="26"/>
      <x:c r="D132" s="26"/>
      <x:c r="E132" s="27"/>
      <x:c r="F132" s="38" t="str">
        <x:f>IF(OR(D132="",E132=""),"",D132*E132)</x:f>
      </x:c>
      <x:c r="G132" s="26"/>
      <x:c r="H132" s="26"/>
    </x:row>
    <x:row r="133">
      <x:c r="A133" s="29"/>
      <x:c r="B133" s="26"/>
      <x:c r="C133" s="26"/>
      <x:c r="D133" s="26"/>
      <x:c r="E133" s="27"/>
      <x:c r="F133" s="38" t="str">
        <x:f>IF(OR(D133="",E133=""),"",D133*E133)</x:f>
      </x:c>
      <x:c r="G133" s="26"/>
      <x:c r="H133" s="26"/>
    </x:row>
    <x:row r="134">
      <x:c r="A134" s="29"/>
      <x:c r="B134" s="26"/>
      <x:c r="C134" s="26"/>
      <x:c r="D134" s="26"/>
      <x:c r="E134" s="27"/>
      <x:c r="F134" s="38" t="str">
        <x:f>IF(OR(D134="",E134=""),"",D134*E134)</x:f>
      </x:c>
      <x:c r="G134" s="26"/>
      <x:c r="H134" s="26"/>
    </x:row>
    <x:row r="135">
      <x:c r="A135" s="29"/>
      <x:c r="B135" s="26"/>
      <x:c r="C135" s="26"/>
      <x:c r="D135" s="26"/>
      <x:c r="E135" s="27"/>
      <x:c r="F135" s="38" t="str">
        <x:f>IF(OR(D135="",E135=""),"",D135*E135)</x:f>
      </x:c>
      <x:c r="G135" s="26"/>
      <x:c r="H135" s="26"/>
    </x:row>
    <x:row r="136">
      <x:c r="A136" s="29"/>
      <x:c r="B136" s="26"/>
      <x:c r="C136" s="26"/>
      <x:c r="D136" s="26"/>
      <x:c r="E136" s="27"/>
      <x:c r="F136" s="38" t="str">
        <x:f>IF(OR(D136="",E136=""),"",D136*E136)</x:f>
      </x:c>
      <x:c r="G136" s="26"/>
      <x:c r="H136" s="26"/>
    </x:row>
    <x:row r="137">
      <x:c r="A137" s="29"/>
      <x:c r="B137" s="26"/>
      <x:c r="C137" s="26"/>
      <x:c r="D137" s="26"/>
      <x:c r="E137" s="27"/>
      <x:c r="F137" s="38" t="str">
        <x:f>IF(OR(D137="",E137=""),"",D137*E137)</x:f>
      </x:c>
      <x:c r="G137" s="26"/>
      <x:c r="H137" s="26"/>
    </x:row>
    <x:row r="138">
      <x:c r="A138" s="29"/>
      <x:c r="B138" s="26"/>
      <x:c r="C138" s="26"/>
      <x:c r="D138" s="26"/>
      <x:c r="E138" s="27"/>
      <x:c r="F138" s="38" t="str">
        <x:f>IF(OR(D138="",E138=""),"",D138*E138)</x:f>
      </x:c>
      <x:c r="G138" s="26"/>
      <x:c r="H138" s="26"/>
    </x:row>
    <x:row r="139">
      <x:c r="A139" s="29"/>
      <x:c r="B139" s="26"/>
      <x:c r="C139" s="26"/>
      <x:c r="D139" s="26"/>
      <x:c r="E139" s="27"/>
      <x:c r="F139" s="38" t="str">
        <x:f>IF(OR(D139="",E139=""),"",D139*E139)</x:f>
      </x:c>
      <x:c r="G139" s="26"/>
      <x:c r="H139" s="26"/>
    </x:row>
    <x:row r="140">
      <x:c r="A140" s="29"/>
      <x:c r="B140" s="26"/>
      <x:c r="C140" s="26"/>
      <x:c r="D140" s="26"/>
      <x:c r="E140" s="27"/>
      <x:c r="F140" s="38" t="str">
        <x:f>IF(OR(D140="",E140=""),"",D140*E140)</x:f>
      </x:c>
      <x:c r="G140" s="26"/>
      <x:c r="H140" s="26"/>
    </x:row>
    <x:row r="141">
      <x:c r="A141" s="29"/>
      <x:c r="B141" s="26"/>
      <x:c r="C141" s="26"/>
      <x:c r="D141" s="26"/>
      <x:c r="E141" s="27"/>
      <x:c r="F141" s="38" t="str">
        <x:f>IF(OR(D141="",E141=""),"",D141*E141)</x:f>
      </x:c>
      <x:c r="G141" s="26"/>
      <x:c r="H141" s="26"/>
    </x:row>
    <x:row r="142">
      <x:c r="A142" s="29"/>
      <x:c r="B142" s="26"/>
      <x:c r="C142" s="26"/>
      <x:c r="D142" s="26"/>
      <x:c r="E142" s="27"/>
      <x:c r="F142" s="38" t="str">
        <x:f>IF(OR(D142="",E142=""),"",D142*E142)</x:f>
      </x:c>
      <x:c r="G142" s="26"/>
      <x:c r="H142" s="26"/>
    </x:row>
    <x:row r="143">
      <x:c r="A143" s="29"/>
      <x:c r="B143" s="26"/>
      <x:c r="C143" s="26"/>
      <x:c r="D143" s="26"/>
      <x:c r="E143" s="27"/>
      <x:c r="F143" s="38" t="str">
        <x:f>IF(OR(D143="",E143=""),"",D143*E143)</x:f>
      </x:c>
      <x:c r="G143" s="26"/>
      <x:c r="H143" s="26"/>
    </x:row>
    <x:row r="144">
      <x:c r="A144" s="29"/>
      <x:c r="B144" s="26"/>
      <x:c r="C144" s="26"/>
      <x:c r="D144" s="26"/>
      <x:c r="E144" s="27"/>
      <x:c r="F144" s="38" t="str">
        <x:f>IF(OR(D144="",E144=""),"",D144*E144)</x:f>
      </x:c>
      <x:c r="G144" s="26"/>
      <x:c r="H144" s="26"/>
    </x:row>
    <x:row r="145">
      <x:c r="A145" s="29"/>
      <x:c r="B145" s="26"/>
      <x:c r="C145" s="26"/>
      <x:c r="D145" s="26"/>
      <x:c r="E145" s="27"/>
      <x:c r="F145" s="38" t="str">
        <x:f>IF(OR(D145="",E145=""),"",D145*E145)</x:f>
      </x:c>
      <x:c r="G145" s="26"/>
      <x:c r="H145" s="26"/>
    </x:row>
    <x:row r="146">
      <x:c r="A146" s="29"/>
      <x:c r="B146" s="26"/>
      <x:c r="C146" s="26"/>
      <x:c r="D146" s="26"/>
      <x:c r="E146" s="27"/>
      <x:c r="F146" s="38" t="str">
        <x:f>IF(OR(D146="",E146=""),"",D146*E146)</x:f>
      </x:c>
      <x:c r="G146" s="26"/>
      <x:c r="H146" s="26"/>
    </x:row>
    <x:row r="147">
      <x:c r="A147" s="29"/>
      <x:c r="B147" s="26"/>
      <x:c r="C147" s="26"/>
      <x:c r="D147" s="26"/>
      <x:c r="E147" s="27"/>
      <x:c r="F147" s="38" t="str">
        <x:f>IF(OR(D147="",E147=""),"",D147*E147)</x:f>
      </x:c>
      <x:c r="G147" s="26"/>
      <x:c r="H147" s="26"/>
    </x:row>
    <x:row r="148">
      <x:c r="A148" s="29"/>
      <x:c r="B148" s="26"/>
      <x:c r="C148" s="26"/>
      <x:c r="D148" s="26"/>
      <x:c r="E148" s="27"/>
      <x:c r="F148" s="38" t="str">
        <x:f>IF(OR(D148="",E148=""),"",D148*E148)</x:f>
      </x:c>
      <x:c r="G148" s="26"/>
      <x:c r="H148" s="26"/>
    </x:row>
    <x:row r="149">
      <x:c r="A149" s="29"/>
      <x:c r="B149" s="26"/>
      <x:c r="C149" s="26"/>
      <x:c r="D149" s="26"/>
      <x:c r="E149" s="27"/>
      <x:c r="F149" s="38" t="str">
        <x:f>IF(OR(D149="",E149=""),"",D149*E149)</x:f>
      </x:c>
      <x:c r="G149" s="26"/>
      <x:c r="H149" s="26"/>
    </x:row>
    <x:row r="150">
      <x:c r="A150" s="29"/>
      <x:c r="B150" s="26"/>
      <x:c r="C150" s="26"/>
      <x:c r="D150" s="26"/>
      <x:c r="E150" s="27"/>
      <x:c r="F150" s="38" t="str">
        <x:f>IF(OR(D150="",E150=""),"",D150*E150)</x:f>
      </x:c>
      <x:c r="G150" s="26"/>
      <x:c r="H150" s="26"/>
    </x:row>
    <x:row r="151">
      <x:c r="A151" s="29"/>
      <x:c r="B151" s="26"/>
      <x:c r="C151" s="26"/>
      <x:c r="D151" s="26"/>
      <x:c r="E151" s="27"/>
      <x:c r="F151" s="38" t="str">
        <x:f>IF(OR(D151="",E151=""),"",D151*E151)</x:f>
      </x:c>
      <x:c r="G151" s="26"/>
      <x:c r="H151" s="26"/>
    </x:row>
    <x:row r="152">
      <x:c r="A152" s="29"/>
      <x:c r="B152" s="26"/>
      <x:c r="C152" s="26"/>
      <x:c r="D152" s="26"/>
      <x:c r="E152" s="27"/>
      <x:c r="F152" s="38" t="str">
        <x:f>IF(OR(D152="",E152=""),"",D152*E152)</x:f>
      </x:c>
      <x:c r="G152" s="26"/>
      <x:c r="H152" s="26"/>
    </x:row>
    <x:row r="153">
      <x:c r="A153" s="29"/>
      <x:c r="B153" s="26"/>
      <x:c r="C153" s="26"/>
      <x:c r="D153" s="26"/>
      <x:c r="E153" s="27"/>
      <x:c r="F153" s="38" t="str">
        <x:f>IF(OR(D153="",E153=""),"",D153*E153)</x:f>
      </x:c>
      <x:c r="G153" s="26"/>
      <x:c r="H153" s="26"/>
    </x:row>
    <x:row r="154">
      <x:c r="A154" s="29"/>
      <x:c r="B154" s="26"/>
      <x:c r="C154" s="26"/>
      <x:c r="D154" s="26"/>
      <x:c r="E154" s="27"/>
      <x:c r="F154" s="38" t="str">
        <x:f>IF(OR(D154="",E154=""),"",D154*E154)</x:f>
      </x:c>
      <x:c r="G154" s="26"/>
      <x:c r="H154" s="26"/>
    </x:row>
    <x:row r="155">
      <x:c r="A155" s="29"/>
      <x:c r="B155" s="26"/>
      <x:c r="C155" s="26"/>
      <x:c r="D155" s="26"/>
      <x:c r="E155" s="27"/>
      <x:c r="F155" s="38" t="str">
        <x:f>IF(OR(D155="",E155=""),"",D155*E155)</x:f>
      </x:c>
      <x:c r="G155" s="26"/>
      <x:c r="H155" s="26"/>
    </x:row>
    <x:row r="156">
      <x:c r="A156" s="29"/>
      <x:c r="B156" s="26"/>
      <x:c r="C156" s="26"/>
      <x:c r="D156" s="26"/>
      <x:c r="E156" s="27"/>
      <x:c r="F156" s="38" t="str">
        <x:f>IF(OR(D156="",E156=""),"",D156*E156)</x:f>
      </x:c>
      <x:c r="G156" s="26"/>
      <x:c r="H156" s="26"/>
    </x:row>
    <x:row r="157">
      <x:c r="A157" s="29"/>
      <x:c r="B157" s="26"/>
      <x:c r="C157" s="26"/>
      <x:c r="D157" s="26"/>
      <x:c r="E157" s="27"/>
      <x:c r="F157" s="38" t="str">
        <x:f>IF(OR(D157="",E157=""),"",D157*E157)</x:f>
      </x:c>
      <x:c r="G157" s="26"/>
      <x:c r="H157" s="26"/>
    </x:row>
    <x:row r="158">
      <x:c r="A158" s="29"/>
      <x:c r="B158" s="26"/>
      <x:c r="C158" s="26"/>
      <x:c r="D158" s="26"/>
      <x:c r="E158" s="27"/>
      <x:c r="F158" s="38" t="str">
        <x:f>IF(OR(D158="",E158=""),"",D158*E158)</x:f>
      </x:c>
      <x:c r="G158" s="26"/>
      <x:c r="H158" s="26"/>
    </x:row>
    <x:row r="159">
      <x:c r="A159" s="29"/>
      <x:c r="B159" s="26"/>
      <x:c r="C159" s="26"/>
      <x:c r="D159" s="26"/>
      <x:c r="E159" s="27"/>
      <x:c r="F159" s="38" t="str">
        <x:f>IF(OR(D159="",E159=""),"",D159*E159)</x:f>
      </x:c>
      <x:c r="G159" s="26"/>
      <x:c r="H159" s="26"/>
    </x:row>
    <x:row r="160">
      <x:c r="A160" s="29"/>
      <x:c r="B160" s="26"/>
      <x:c r="C160" s="26"/>
      <x:c r="D160" s="26"/>
      <x:c r="E160" s="27"/>
      <x:c r="F160" s="38" t="str">
        <x:f>IF(OR(D160="",E160=""),"",D160*E160)</x:f>
      </x:c>
      <x:c r="G160" s="26"/>
      <x:c r="H160" s="26"/>
    </x:row>
    <x:row r="161">
      <x:c r="A161" s="29"/>
      <x:c r="B161" s="26"/>
      <x:c r="C161" s="26"/>
      <x:c r="D161" s="26"/>
      <x:c r="E161" s="27"/>
      <x:c r="F161" s="38" t="str">
        <x:f>IF(OR(D161="",E161=""),"",D161*E161)</x:f>
      </x:c>
      <x:c r="G161" s="26"/>
      <x:c r="H161" s="26"/>
    </x:row>
    <x:row r="162">
      <x:c r="A162" s="29"/>
      <x:c r="B162" s="26"/>
      <x:c r="C162" s="26"/>
      <x:c r="D162" s="26"/>
      <x:c r="E162" s="27"/>
      <x:c r="F162" s="38" t="str">
        <x:f>IF(OR(D162="",E162=""),"",D162*E162)</x:f>
      </x:c>
      <x:c r="G162" s="26"/>
      <x:c r="H162" s="26"/>
    </x:row>
    <x:row r="163">
      <x:c r="A163" s="29"/>
      <x:c r="B163" s="26"/>
      <x:c r="C163" s="26"/>
      <x:c r="D163" s="26"/>
      <x:c r="E163" s="27"/>
      <x:c r="F163" s="38" t="str">
        <x:f>IF(OR(D163="",E163=""),"",D163*E163)</x:f>
      </x:c>
      <x:c r="G163" s="26"/>
      <x:c r="H163" s="26"/>
    </x:row>
    <x:row r="164">
      <x:c r="A164" s="29"/>
      <x:c r="B164" s="26"/>
      <x:c r="C164" s="26"/>
      <x:c r="D164" s="26"/>
      <x:c r="E164" s="27"/>
      <x:c r="F164" s="38" t="str">
        <x:f>IF(OR(D164="",E164=""),"",D164*E164)</x:f>
      </x:c>
      <x:c r="G164" s="26"/>
      <x:c r="H164" s="26"/>
    </x:row>
    <x:row r="165">
      <x:c r="A165" s="29"/>
      <x:c r="B165" s="26"/>
      <x:c r="C165" s="26"/>
      <x:c r="D165" s="26"/>
      <x:c r="E165" s="27"/>
      <x:c r="F165" s="38" t="str">
        <x:f>IF(OR(D165="",E165=""),"",D165*E165)</x:f>
      </x:c>
      <x:c r="G165" s="26"/>
      <x:c r="H165" s="26"/>
    </x:row>
    <x:row r="166">
      <x:c r="A166" s="29"/>
      <x:c r="B166" s="26"/>
      <x:c r="C166" s="26"/>
      <x:c r="D166" s="26"/>
      <x:c r="E166" s="27"/>
      <x:c r="F166" s="38" t="str">
        <x:f>IF(OR(D166="",E166=""),"",D166*E166)</x:f>
      </x:c>
      <x:c r="G166" s="26"/>
      <x:c r="H166" s="26"/>
    </x:row>
    <x:row r="167">
      <x:c r="A167" s="29"/>
      <x:c r="B167" s="26"/>
      <x:c r="C167" s="26"/>
      <x:c r="D167" s="26"/>
      <x:c r="E167" s="27"/>
      <x:c r="F167" s="38" t="str">
        <x:f>IF(OR(D167="",E167=""),"",D167*E167)</x:f>
      </x:c>
      <x:c r="G167" s="26"/>
      <x:c r="H167" s="26"/>
    </x:row>
    <x:row r="168">
      <x:c r="A168" s="29"/>
      <x:c r="B168" s="26"/>
      <x:c r="C168" s="26"/>
      <x:c r="D168" s="26"/>
      <x:c r="E168" s="27"/>
      <x:c r="F168" s="38" t="str">
        <x:f>IF(OR(D168="",E168=""),"",D168*E168)</x:f>
      </x:c>
      <x:c r="G168" s="26"/>
      <x:c r="H168" s="26"/>
    </x:row>
    <x:row r="169">
      <x:c r="A169" s="29"/>
      <x:c r="B169" s="26"/>
      <x:c r="C169" s="26"/>
      <x:c r="D169" s="26"/>
      <x:c r="E169" s="27"/>
      <x:c r="F169" s="38" t="str">
        <x:f>IF(OR(D169="",E169=""),"",D169*E169)</x:f>
      </x:c>
      <x:c r="G169" s="26"/>
      <x:c r="H169" s="26"/>
    </x:row>
    <x:row r="170">
      <x:c r="A170" s="29"/>
      <x:c r="B170" s="26"/>
      <x:c r="C170" s="26"/>
      <x:c r="D170" s="26"/>
      <x:c r="E170" s="27"/>
      <x:c r="F170" s="38" t="str">
        <x:f>IF(OR(D170="",E170=""),"",D170*E170)</x:f>
      </x:c>
      <x:c r="G170" s="26"/>
      <x:c r="H170" s="26"/>
    </x:row>
    <x:row r="171">
      <x:c r="A171" s="29"/>
      <x:c r="B171" s="26"/>
      <x:c r="C171" s="26"/>
      <x:c r="D171" s="26"/>
      <x:c r="E171" s="27"/>
      <x:c r="F171" s="38" t="str">
        <x:f>IF(OR(D171="",E171=""),"",D171*E171)</x:f>
      </x:c>
      <x:c r="G171" s="26"/>
      <x:c r="H171" s="26"/>
    </x:row>
    <x:row r="172">
      <x:c r="A172" s="29"/>
      <x:c r="B172" s="26"/>
      <x:c r="C172" s="26"/>
      <x:c r="D172" s="26"/>
      <x:c r="E172" s="27"/>
      <x:c r="F172" s="38" t="str">
        <x:f>IF(OR(D172="",E172=""),"",D172*E172)</x:f>
      </x:c>
      <x:c r="G172" s="26"/>
      <x:c r="H172" s="26"/>
    </x:row>
    <x:row r="173">
      <x:c r="A173" s="29"/>
      <x:c r="B173" s="26"/>
      <x:c r="C173" s="26"/>
      <x:c r="D173" s="26"/>
      <x:c r="E173" s="27"/>
      <x:c r="F173" s="38" t="str">
        <x:f>IF(OR(D173="",E173=""),"",D173*E173)</x:f>
      </x:c>
      <x:c r="G173" s="26"/>
      <x:c r="H173" s="26"/>
    </x:row>
    <x:row r="174">
      <x:c r="A174" s="29"/>
      <x:c r="B174" s="26"/>
      <x:c r="C174" s="26"/>
      <x:c r="D174" s="26"/>
      <x:c r="E174" s="27"/>
      <x:c r="F174" s="38" t="str">
        <x:f>IF(OR(D174="",E174=""),"",D174*E174)</x:f>
      </x:c>
      <x:c r="G174" s="26"/>
      <x:c r="H174" s="26"/>
    </x:row>
    <x:row r="175">
      <x:c r="A175" s="29"/>
      <x:c r="B175" s="26"/>
      <x:c r="C175" s="26"/>
      <x:c r="D175" s="26"/>
      <x:c r="E175" s="27"/>
      <x:c r="F175" s="38" t="str">
        <x:f>IF(OR(D175="",E175=""),"",D175*E175)</x:f>
      </x:c>
      <x:c r="G175" s="26"/>
      <x:c r="H175" s="26"/>
    </x:row>
    <x:row r="176">
      <x:c r="A176" s="29"/>
      <x:c r="B176" s="26"/>
      <x:c r="C176" s="26"/>
      <x:c r="D176" s="26"/>
      <x:c r="E176" s="27"/>
      <x:c r="F176" s="38" t="str">
        <x:f>IF(OR(D176="",E176=""),"",D176*E176)</x:f>
      </x:c>
      <x:c r="G176" s="26"/>
      <x:c r="H176" s="26"/>
    </x:row>
    <x:row r="177">
      <x:c r="A177" s="29"/>
      <x:c r="B177" s="26"/>
      <x:c r="C177" s="26"/>
      <x:c r="D177" s="26"/>
      <x:c r="E177" s="27"/>
      <x:c r="F177" s="38" t="str">
        <x:f>IF(OR(D177="",E177=""),"",D177*E177)</x:f>
      </x:c>
      <x:c r="G177" s="26"/>
      <x:c r="H177" s="26"/>
    </x:row>
    <x:row r="178">
      <x:c r="A178" s="29"/>
      <x:c r="B178" s="26"/>
      <x:c r="C178" s="26"/>
      <x:c r="D178" s="26"/>
      <x:c r="E178" s="27"/>
      <x:c r="F178" s="38" t="str">
        <x:f>IF(OR(D178="",E178=""),"",D178*E178)</x:f>
      </x:c>
      <x:c r="G178" s="26"/>
      <x:c r="H178" s="26"/>
    </x:row>
    <x:row r="179">
      <x:c r="A179" s="29"/>
      <x:c r="B179" s="26"/>
      <x:c r="C179" s="26"/>
      <x:c r="D179" s="26"/>
      <x:c r="E179" s="27"/>
      <x:c r="F179" s="38" t="str">
        <x:f>IF(OR(D179="",E179=""),"",D179*E179)</x:f>
      </x:c>
      <x:c r="G179" s="26"/>
      <x:c r="H179" s="26"/>
    </x:row>
    <x:row r="180">
      <x:c r="A180" s="29"/>
      <x:c r="B180" s="26"/>
      <x:c r="C180" s="26"/>
      <x:c r="D180" s="26"/>
      <x:c r="E180" s="27"/>
      <x:c r="F180" s="38" t="str">
        <x:f>IF(OR(D180="",E180=""),"",D180*E180)</x:f>
      </x:c>
      <x:c r="G180" s="26"/>
      <x:c r="H180" s="26"/>
    </x:row>
    <x:row r="181">
      <x:c r="A181" s="29"/>
      <x:c r="B181" s="26"/>
      <x:c r="C181" s="26"/>
      <x:c r="D181" s="26"/>
      <x:c r="E181" s="27"/>
      <x:c r="F181" s="38" t="str">
        <x:f>IF(OR(D181="",E181=""),"",D181*E181)</x:f>
      </x:c>
      <x:c r="G181" s="26"/>
      <x:c r="H181" s="26"/>
    </x:row>
    <x:row r="182">
      <x:c r="A182" s="29"/>
      <x:c r="B182" s="26"/>
      <x:c r="C182" s="26"/>
      <x:c r="D182" s="26"/>
      <x:c r="E182" s="27"/>
      <x:c r="F182" s="38" t="str">
        <x:f>IF(OR(D182="",E182=""),"",D182*E182)</x:f>
      </x:c>
      <x:c r="G182" s="26"/>
      <x:c r="H182" s="26"/>
    </x:row>
    <x:row r="183">
      <x:c r="A183" s="29"/>
      <x:c r="B183" s="26"/>
      <x:c r="C183" s="26"/>
      <x:c r="D183" s="26"/>
      <x:c r="E183" s="27"/>
      <x:c r="F183" s="38" t="str">
        <x:f>IF(OR(D183="",E183=""),"",D183*E183)</x:f>
      </x:c>
      <x:c r="G183" s="26"/>
      <x:c r="H183" s="26"/>
    </x:row>
    <x:row r="184">
      <x:c r="A184" s="29"/>
      <x:c r="B184" s="26"/>
      <x:c r="C184" s="26"/>
      <x:c r="D184" s="26"/>
      <x:c r="E184" s="27"/>
      <x:c r="F184" s="38" t="str">
        <x:f>IF(OR(D184="",E184=""),"",D184*E184)</x:f>
      </x:c>
      <x:c r="G184" s="26"/>
      <x:c r="H184" s="26"/>
    </x:row>
    <x:row r="185">
      <x:c r="A185" s="29"/>
      <x:c r="B185" s="26"/>
      <x:c r="C185" s="26"/>
      <x:c r="D185" s="26"/>
      <x:c r="E185" s="27"/>
      <x:c r="F185" s="38" t="str">
        <x:f>IF(OR(D185="",E185=""),"",D185*E185)</x:f>
      </x:c>
      <x:c r="G185" s="26"/>
      <x:c r="H185" s="26"/>
    </x:row>
    <x:row r="186">
      <x:c r="A186" s="29"/>
      <x:c r="B186" s="26"/>
      <x:c r="C186" s="26"/>
      <x:c r="D186" s="26"/>
      <x:c r="E186" s="27"/>
      <x:c r="F186" s="38" t="str">
        <x:f>IF(OR(D186="",E186=""),"",D186*E186)</x:f>
      </x:c>
      <x:c r="G186" s="26"/>
      <x:c r="H186" s="26"/>
    </x:row>
    <x:row r="187">
      <x:c r="A187" s="29"/>
      <x:c r="B187" s="26"/>
      <x:c r="C187" s="26"/>
      <x:c r="D187" s="26"/>
      <x:c r="E187" s="27"/>
      <x:c r="F187" s="38" t="str">
        <x:f>IF(OR(D187="",E187=""),"",D187*E187)</x:f>
      </x:c>
      <x:c r="G187" s="26"/>
      <x:c r="H187" s="26"/>
    </x:row>
    <x:row r="188">
      <x:c r="A188" s="29"/>
      <x:c r="B188" s="26"/>
      <x:c r="C188" s="26"/>
      <x:c r="D188" s="26"/>
      <x:c r="E188" s="27"/>
      <x:c r="F188" s="38" t="str">
        <x:f>IF(OR(D188="",E188=""),"",D188*E188)</x:f>
      </x:c>
      <x:c r="G188" s="26"/>
      <x:c r="H188" s="26"/>
    </x:row>
    <x:row r="189">
      <x:c r="A189" s="29"/>
      <x:c r="B189" s="26"/>
      <x:c r="C189" s="26"/>
      <x:c r="D189" s="26"/>
      <x:c r="E189" s="27"/>
      <x:c r="F189" s="38" t="str">
        <x:f>IF(OR(D189="",E189=""),"",D189*E189)</x:f>
      </x:c>
      <x:c r="G189" s="26"/>
      <x:c r="H189" s="26"/>
    </x:row>
    <x:row r="190">
      <x:c r="A190" s="29"/>
      <x:c r="B190" s="26"/>
      <x:c r="C190" s="26"/>
      <x:c r="D190" s="26"/>
      <x:c r="E190" s="27"/>
      <x:c r="F190" s="38" t="str">
        <x:f>IF(OR(D190="",E190=""),"",D190*E190)</x:f>
      </x:c>
      <x:c r="G190" s="26"/>
      <x:c r="H190" s="26"/>
    </x:row>
    <x:row r="191">
      <x:c r="A191" s="29"/>
      <x:c r="B191" s="26"/>
      <x:c r="C191" s="26"/>
      <x:c r="D191" s="26"/>
      <x:c r="E191" s="27"/>
      <x:c r="F191" s="38" t="str">
        <x:f>IF(OR(D191="",E191=""),"",D191*E191)</x:f>
      </x:c>
      <x:c r="G191" s="26"/>
      <x:c r="H191" s="26"/>
    </x:row>
    <x:row r="192">
      <x:c r="A192" s="29"/>
      <x:c r="B192" s="26"/>
      <x:c r="C192" s="26"/>
      <x:c r="D192" s="26"/>
      <x:c r="E192" s="27"/>
      <x:c r="F192" s="38" t="str">
        <x:f>IF(OR(D192="",E192=""),"",D192*E192)</x:f>
      </x:c>
      <x:c r="G192" s="26"/>
      <x:c r="H192" s="26"/>
    </x:row>
    <x:row r="193">
      <x:c r="A193" s="29"/>
      <x:c r="B193" s="26"/>
      <x:c r="C193" s="26"/>
      <x:c r="D193" s="26"/>
      <x:c r="E193" s="27"/>
      <x:c r="F193" s="38" t="str">
        <x:f>IF(OR(D193="",E193=""),"",D193*E193)</x:f>
      </x:c>
      <x:c r="G193" s="26"/>
      <x:c r="H193" s="26"/>
    </x:row>
    <x:row r="194">
      <x:c r="A194" s="29"/>
      <x:c r="B194" s="26"/>
      <x:c r="C194" s="26"/>
      <x:c r="D194" s="26"/>
      <x:c r="E194" s="27"/>
      <x:c r="F194" s="38" t="str">
        <x:f>IF(OR(D194="",E194=""),"",D194*E194)</x:f>
      </x:c>
      <x:c r="G194" s="26"/>
      <x:c r="H194" s="26"/>
    </x:row>
    <x:row r="195">
      <x:c r="A195" s="29"/>
      <x:c r="B195" s="26"/>
      <x:c r="C195" s="26"/>
      <x:c r="D195" s="26"/>
      <x:c r="E195" s="27"/>
      <x:c r="F195" s="38" t="str">
        <x:f>IF(OR(D195="",E195=""),"",D195*E195)</x:f>
      </x:c>
      <x:c r="G195" s="26"/>
      <x:c r="H195" s="26"/>
    </x:row>
    <x:row r="196">
      <x:c r="A196" s="29"/>
      <x:c r="B196" s="26"/>
      <x:c r="C196" s="26"/>
      <x:c r="D196" s="26"/>
      <x:c r="E196" s="27"/>
      <x:c r="F196" s="38" t="str">
        <x:f>IF(OR(D196="",E196=""),"",D196*E196)</x:f>
      </x:c>
      <x:c r="G196" s="26"/>
      <x:c r="H196" s="26"/>
    </x:row>
    <x:row r="197">
      <x:c r="A197" s="29"/>
      <x:c r="B197" s="26"/>
      <x:c r="C197" s="26"/>
      <x:c r="D197" s="26"/>
      <x:c r="E197" s="27"/>
      <x:c r="F197" s="38" t="str">
        <x:f>IF(OR(D197="",E197=""),"",D197*E197)</x:f>
      </x:c>
      <x:c r="G197" s="26"/>
      <x:c r="H197" s="26"/>
    </x:row>
    <x:row r="198">
      <x:c r="A198" s="29"/>
      <x:c r="B198" s="26"/>
      <x:c r="C198" s="26"/>
      <x:c r="D198" s="26"/>
      <x:c r="E198" s="27"/>
      <x:c r="F198" s="38" t="str">
        <x:f>IF(OR(D198="",E198=""),"",D198*E198)</x:f>
      </x:c>
      <x:c r="G198" s="26"/>
      <x:c r="H198" s="26"/>
    </x:row>
    <x:row r="199">
      <x:c r="A199" s="29"/>
      <x:c r="B199" s="26"/>
      <x:c r="C199" s="26"/>
      <x:c r="D199" s="26"/>
      <x:c r="E199" s="27"/>
      <x:c r="F199" s="38" t="str">
        <x:f>IF(OR(D199="",E199=""),"",D199*E199)</x:f>
      </x:c>
      <x:c r="G199" s="26"/>
      <x:c r="H199" s="26"/>
    </x:row>
    <x:row r="200">
      <x:c r="A200" s="29"/>
      <x:c r="B200" s="26"/>
      <x:c r="C200" s="26"/>
      <x:c r="D200" s="26"/>
      <x:c r="E200" s="27"/>
      <x:c r="F200" s="38" t="str">
        <x:f>IF(OR(D200="",E200=""),"",D200*E200)</x:f>
      </x:c>
      <x:c r="G200" s="26"/>
      <x:c r="H200" s="26"/>
    </x:row>
    <x:row r="201">
      <x:c r="A201" s="29"/>
      <x:c r="B201" s="26"/>
      <x:c r="C201" s="26"/>
      <x:c r="D201" s="26"/>
      <x:c r="E201" s="27"/>
      <x:c r="F201" s="38" t="str">
        <x:f>IF(OR(D201="",E201=""),"",D201*E201)</x:f>
      </x:c>
      <x:c r="G201" s="26"/>
      <x:c r="H201" s="26"/>
    </x:row>
    <x:row r="202">
      <x:c r="A202" s="29"/>
      <x:c r="B202" s="26"/>
      <x:c r="C202" s="26"/>
      <x:c r="D202" s="26"/>
      <x:c r="E202" s="27"/>
      <x:c r="F202" s="38" t="str">
        <x:f>IF(OR(D202="",E202=""),"",D202*E202)</x:f>
      </x:c>
      <x:c r="G202" s="26"/>
      <x:c r="H202" s="26"/>
    </x:row>
    <x:row r="203">
      <x:c r="A203" s="29"/>
      <x:c r="B203" s="26"/>
      <x:c r="C203" s="26"/>
      <x:c r="D203" s="26"/>
      <x:c r="E203" s="27"/>
      <x:c r="F203" s="38" t="str">
        <x:f>IF(OR(D203="",E203=""),"",D203*E203)</x:f>
      </x:c>
      <x:c r="G203" s="26"/>
      <x:c r="H203" s="26"/>
    </x:row>
  </x:sheetData>
  <x:mergeCells>
    <x:mergeCell ref="A1:H1"/>
  </x:mergeCells>
  <x:dataValidations count="2">
    <x:dataValidation type="list" sqref="C4:C203">
      <x:formula1>"Materials,Labor,Equipment,Subcontractor,Permits,Other"</x:formula1>
    </x:dataValidation>
    <x:dataValidation type="list" sqref="H4:H203">
      <x:formula1>"Base,Change"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9" hidden="0" customWidth="1"/>
    <x:col min="4" max="4" width="23" hidden="0" customWidth="1"/>
    <x:col min="5" max="5" width="25" hidden="0" customWidth="1"/>
    <x:col min="6" max="6" width="27" hidden="0" customWidth="1"/>
    <x:col min="7" max="7" width="42" hidden="0" customWidth="1"/>
  </x:cols>
  <x:sheetData>
    <x:row r="1" ht="35" customHeight="1">
      <x:c r="A1" s="4" t="str">
        <x:v>CHANGE ORDERS  |  APPROVED REVENUE ONLY</x:v>
      </x:c>
      <x:c r="B1" s="4"/>
      <x:c r="C1" s="4"/>
      <x:c r="D1" s="4"/>
      <x:c r="E1" s="4"/>
      <x:c r="F1" s="4"/>
      <x:c r="G1" s="4"/>
    </x:row>
    <x:row r="3" ht="27" customHeight="1">
      <x:c r="A3" s="10" t="str">
        <x:v>CHANGE ID</x:v>
      </x:c>
      <x:c r="B3" s="10" t="str">
        <x:v>DESCRIPTION</x:v>
      </x:c>
      <x:c r="C3" s="10" t="str">
        <x:v>STATUS</x:v>
      </x:c>
      <x:c r="D3" s="10" t="str">
        <x:v>ADDED REVENUE ($)</x:v>
      </x:c>
      <x:c r="E3" s="10" t="str">
        <x:v>EST. CHANGE COST ($)</x:v>
      </x:c>
      <x:c r="F3" s="10" t="str">
        <x:v>EST. CONTRIBUTION ($)</x:v>
      </x:c>
      <x:c r="G3" s="10" t="str">
        <x:v>NOTES</x:v>
      </x:c>
    </x:row>
    <x:row r="4" ht="20" customHeight="1">
      <x:c r="A4" s="26" t="str">
        <x:v>CO-001</x:v>
      </x:c>
      <x:c r="B4" s="26" t="str">
        <x:v>Extra receptacles</x:v>
      </x:c>
      <x:c r="C4" s="26" t="str">
        <x:v>Approved</x:v>
      </x:c>
      <x:c r="D4" s="27" t="n">
        <x:v>450</x:v>
      </x:c>
      <x:c r="E4" s="27" t="n">
        <x:v>225</x:v>
      </x:c>
      <x:c r="F4" s="38" t="n">
        <x:f>IF(C4="Approved",D4-E4,0)</x:f>
        <x:v>225</x:v>
      </x:c>
      <x:c r="G4" s="26" t="str">
        <x:v>Fictional demo; actual cost must be logged in Actual Costs if incurred</x:v>
      </x:c>
    </x:row>
    <x:row r="5" ht="20" customHeight="1">
      <x:c r="A5" s="26" t="str">
        <x:v>CO-002</x:v>
      </x:c>
      <x:c r="B5" s="26" t="str">
        <x:v>Panel label changes</x:v>
      </x:c>
      <x:c r="C5" s="26" t="str">
        <x:v>Pending</x:v>
      </x:c>
      <x:c r="D5" s="27" t="n">
        <x:v>250</x:v>
      </x:c>
      <x:c r="E5" s="27" t="n">
        <x:v>100</x:v>
      </x:c>
      <x:c r="F5" s="38" t="n">
        <x:f>IF(C5="Approved",D5-E5,0)</x:f>
        <x:v>0</x:v>
      </x:c>
      <x:c r="G5" s="26" t="str">
        <x:v>Excluded from contracted revenue</x:v>
      </x:c>
    </x:row>
    <x:row r="6" ht="20" customHeight="1">
      <x:c r="A6" s="26" t="str">
        <x:v>CO-003</x:v>
      </x:c>
      <x:c r="B6" s="26" t="str">
        <x:v>Added conduit run</x:v>
      </x:c>
      <x:c r="C6" s="26" t="str">
        <x:v>Rejected</x:v>
      </x:c>
      <x:c r="D6" s="27" t="n">
        <x:v>300</x:v>
      </x:c>
      <x:c r="E6" s="27" t="n">
        <x:v>175</x:v>
      </x:c>
      <x:c r="F6" s="38" t="n">
        <x:f>IF(C6="Approved",D6-E6,0)</x:f>
        <x:v>0</x:v>
      </x:c>
      <x:c r="G6" s="26" t="str">
        <x:v>Excluded from contracted revenue</x:v>
      </x:c>
    </x:row>
    <x:row r="7" ht="20" customHeight="1">
      <x:c r="A7" s="26"/>
      <x:c r="B7" s="26"/>
      <x:c r="C7" s="26"/>
      <x:c r="D7" s="27"/>
      <x:c r="E7" s="27"/>
      <x:c r="F7" s="38" t="n">
        <x:f>IF(C7="Approved",D7-E7,0)</x:f>
        <x:v>0</x:v>
      </x:c>
      <x:c r="G7" s="26"/>
    </x:row>
    <x:row r="8" ht="20" customHeight="1">
      <x:c r="A8" s="26"/>
      <x:c r="B8" s="26"/>
      <x:c r="C8" s="26"/>
      <x:c r="D8" s="27"/>
      <x:c r="E8" s="27"/>
      <x:c r="F8" s="38" t="n">
        <x:f>IF(C8="Approved",D8-E8,0)</x:f>
        <x:v>0</x:v>
      </x:c>
      <x:c r="G8" s="26"/>
    </x:row>
    <x:row r="9" ht="20" customHeight="1">
      <x:c r="A9" s="26"/>
      <x:c r="B9" s="26"/>
      <x:c r="C9" s="26"/>
      <x:c r="D9" s="27"/>
      <x:c r="E9" s="27"/>
      <x:c r="F9" s="38" t="n">
        <x:f>IF(C9="Approved",D9-E9,0)</x:f>
        <x:v>0</x:v>
      </x:c>
      <x:c r="G9" s="26"/>
    </x:row>
    <x:row r="10" ht="20" customHeight="1">
      <x:c r="A10" s="26"/>
      <x:c r="B10" s="26"/>
      <x:c r="C10" s="26"/>
      <x:c r="D10" s="27"/>
      <x:c r="E10" s="27"/>
      <x:c r="F10" s="38" t="n">
        <x:f>IF(C10="Approved",D10-E10,0)</x:f>
        <x:v>0</x:v>
      </x:c>
      <x:c r="G10" s="26"/>
    </x:row>
    <x:row r="11" ht="20" customHeight="1">
      <x:c r="A11" s="26"/>
      <x:c r="B11" s="26"/>
      <x:c r="C11" s="26"/>
      <x:c r="D11" s="27"/>
      <x:c r="E11" s="27"/>
      <x:c r="F11" s="38" t="n">
        <x:f>IF(C11="Approved",D11-E11,0)</x:f>
        <x:v>0</x:v>
      </x:c>
      <x:c r="G11" s="26"/>
    </x:row>
    <x:row r="12" ht="20" customHeight="1">
      <x:c r="A12" s="26"/>
      <x:c r="B12" s="26"/>
      <x:c r="C12" s="26"/>
      <x:c r="D12" s="27"/>
      <x:c r="E12" s="27"/>
      <x:c r="F12" s="38" t="n">
        <x:f>IF(C12="Approved",D12-E12,0)</x:f>
        <x:v>0</x:v>
      </x:c>
      <x:c r="G12" s="26"/>
    </x:row>
    <x:row r="13" ht="20" customHeight="1">
      <x:c r="A13" s="26"/>
      <x:c r="B13" s="26"/>
      <x:c r="C13" s="26"/>
      <x:c r="D13" s="27"/>
      <x:c r="E13" s="27"/>
      <x:c r="F13" s="38" t="n">
        <x:f>IF(C13="Approved",D13-E13,0)</x:f>
        <x:v>0</x:v>
      </x:c>
      <x:c r="G13" s="26"/>
    </x:row>
    <x:row r="14" ht="20" customHeight="1">
      <x:c r="A14" s="26"/>
      <x:c r="B14" s="26"/>
      <x:c r="C14" s="26"/>
      <x:c r="D14" s="27"/>
      <x:c r="E14" s="27"/>
      <x:c r="F14" s="38" t="n">
        <x:f>IF(C14="Approved",D14-E14,0)</x:f>
        <x:v>0</x:v>
      </x:c>
      <x:c r="G14" s="26"/>
    </x:row>
    <x:row r="15" ht="20" customHeight="1">
      <x:c r="A15" s="26"/>
      <x:c r="B15" s="26"/>
      <x:c r="C15" s="26"/>
      <x:c r="D15" s="27"/>
      <x:c r="E15" s="27"/>
      <x:c r="F15" s="38" t="n">
        <x:f>IF(C15="Approved",D15-E15,0)</x:f>
        <x:v>0</x:v>
      </x:c>
      <x:c r="G15" s="26"/>
    </x:row>
    <x:row r="16" ht="20" customHeight="1">
      <x:c r="A16" s="26"/>
      <x:c r="B16" s="26"/>
      <x:c r="C16" s="26"/>
      <x:c r="D16" s="27"/>
      <x:c r="E16" s="27"/>
      <x:c r="F16" s="38" t="n">
        <x:f>IF(C16="Approved",D16-E16,0)</x:f>
        <x:v>0</x:v>
      </x:c>
      <x:c r="G16" s="26"/>
    </x:row>
    <x:row r="17" ht="20" customHeight="1">
      <x:c r="A17" s="26"/>
      <x:c r="B17" s="26"/>
      <x:c r="C17" s="26"/>
      <x:c r="D17" s="27"/>
      <x:c r="E17" s="27"/>
      <x:c r="F17" s="38" t="n">
        <x:f>IF(C17="Approved",D17-E17,0)</x:f>
        <x:v>0</x:v>
      </x:c>
      <x:c r="G17" s="26"/>
    </x:row>
    <x:row r="18" ht="20" customHeight="1">
      <x:c r="A18" s="26"/>
      <x:c r="B18" s="26"/>
      <x:c r="C18" s="26"/>
      <x:c r="D18" s="27"/>
      <x:c r="E18" s="27"/>
      <x:c r="F18" s="38" t="n">
        <x:f>IF(C18="Approved",D18-E18,0)</x:f>
        <x:v>0</x:v>
      </x:c>
      <x:c r="G18" s="26"/>
    </x:row>
    <x:row r="19" ht="20" customHeight="1">
      <x:c r="A19" s="26"/>
      <x:c r="B19" s="26"/>
      <x:c r="C19" s="26"/>
      <x:c r="D19" s="27"/>
      <x:c r="E19" s="27"/>
      <x:c r="F19" s="38" t="n">
        <x:f>IF(C19="Approved",D19-E19,0)</x:f>
        <x:v>0</x:v>
      </x:c>
      <x:c r="G19" s="26"/>
    </x:row>
    <x:row r="20" ht="20" customHeight="1">
      <x:c r="A20" s="26"/>
      <x:c r="B20" s="26"/>
      <x:c r="C20" s="26"/>
      <x:c r="D20" s="27"/>
      <x:c r="E20" s="27"/>
      <x:c r="F20" s="38" t="n">
        <x:f>IF(C20="Approved",D20-E20,0)</x:f>
        <x:v>0</x:v>
      </x:c>
      <x:c r="G20" s="26"/>
    </x:row>
    <x:row r="21" ht="20" customHeight="1">
      <x:c r="A21" s="26"/>
      <x:c r="B21" s="26"/>
      <x:c r="C21" s="26"/>
      <x:c r="D21" s="27"/>
      <x:c r="E21" s="27"/>
      <x:c r="F21" s="38" t="n">
        <x:f>IF(C21="Approved",D21-E21,0)</x:f>
        <x:v>0</x:v>
      </x:c>
      <x:c r="G21" s="26"/>
    </x:row>
    <x:row r="22" ht="20" customHeight="1">
      <x:c r="A22" s="26"/>
      <x:c r="B22" s="26"/>
      <x:c r="C22" s="26"/>
      <x:c r="D22" s="27"/>
      <x:c r="E22" s="27"/>
      <x:c r="F22" s="38" t="n">
        <x:f>IF(C22="Approved",D22-E22,0)</x:f>
        <x:v>0</x:v>
      </x:c>
      <x:c r="G22" s="26"/>
    </x:row>
    <x:row r="23" ht="20" customHeight="1">
      <x:c r="A23" s="26"/>
      <x:c r="B23" s="26"/>
      <x:c r="C23" s="26"/>
      <x:c r="D23" s="27"/>
      <x:c r="E23" s="27"/>
      <x:c r="F23" s="38" t="n">
        <x:f>IF(C23="Approved",D23-E23,0)</x:f>
        <x:v>0</x:v>
      </x:c>
      <x:c r="G23" s="26"/>
    </x:row>
    <x:row r="24" ht="20" customHeight="1">
      <x:c r="A24" s="26"/>
      <x:c r="B24" s="26"/>
      <x:c r="C24" s="26"/>
      <x:c r="D24" s="27"/>
      <x:c r="E24" s="27"/>
      <x:c r="F24" s="38" t="n">
        <x:f>IF(C24="Approved",D24-E24,0)</x:f>
        <x:v>0</x:v>
      </x:c>
      <x:c r="G24" s="26"/>
    </x:row>
    <x:row r="25" ht="20" customHeight="1">
      <x:c r="A25" s="26"/>
      <x:c r="B25" s="26"/>
      <x:c r="C25" s="26"/>
      <x:c r="D25" s="27"/>
      <x:c r="E25" s="27"/>
      <x:c r="F25" s="38" t="n">
        <x:f>IF(C25="Approved",D25-E25,0)</x:f>
        <x:v>0</x:v>
      </x:c>
      <x:c r="G25" s="26"/>
    </x:row>
    <x:row r="26" ht="20" customHeight="1">
      <x:c r="A26" s="26"/>
      <x:c r="B26" s="26"/>
      <x:c r="C26" s="26"/>
      <x:c r="D26" s="27"/>
      <x:c r="E26" s="27"/>
      <x:c r="F26" s="38" t="n">
        <x:f>IF(C26="Approved",D26-E26,0)</x:f>
        <x:v>0</x:v>
      </x:c>
      <x:c r="G26" s="26"/>
    </x:row>
    <x:row r="27" ht="20" customHeight="1">
      <x:c r="A27" s="26"/>
      <x:c r="B27" s="26"/>
      <x:c r="C27" s="26"/>
      <x:c r="D27" s="27"/>
      <x:c r="E27" s="27"/>
      <x:c r="F27" s="38" t="n">
        <x:f>IF(C27="Approved",D27-E27,0)</x:f>
        <x:v>0</x:v>
      </x:c>
      <x:c r="G27" s="26"/>
    </x:row>
    <x:row r="28" ht="20" customHeight="1">
      <x:c r="A28" s="26"/>
      <x:c r="B28" s="26"/>
      <x:c r="C28" s="26"/>
      <x:c r="D28" s="27"/>
      <x:c r="E28" s="27"/>
      <x:c r="F28" s="38" t="n">
        <x:f>IF(C28="Approved",D28-E28,0)</x:f>
        <x:v>0</x:v>
      </x:c>
      <x:c r="G28" s="26"/>
    </x:row>
    <x:row r="29" ht="20" customHeight="1">
      <x:c r="A29" s="26"/>
      <x:c r="B29" s="26"/>
      <x:c r="C29" s="26"/>
      <x:c r="D29" s="27"/>
      <x:c r="E29" s="27"/>
      <x:c r="F29" s="38" t="n">
        <x:f>IF(C29="Approved",D29-E29,0)</x:f>
        <x:v>0</x:v>
      </x:c>
      <x:c r="G29" s="26"/>
    </x:row>
    <x:row r="30" ht="20" customHeight="1">
      <x:c r="A30" s="26"/>
      <x:c r="B30" s="26"/>
      <x:c r="C30" s="26"/>
      <x:c r="D30" s="27"/>
      <x:c r="E30" s="27"/>
      <x:c r="F30" s="38" t="n">
        <x:f>IF(C30="Approved",D30-E30,0)</x:f>
        <x:v>0</x:v>
      </x:c>
      <x:c r="G30" s="26"/>
    </x:row>
    <x:row r="31" ht="20" customHeight="1">
      <x:c r="A31" s="26"/>
      <x:c r="B31" s="26"/>
      <x:c r="C31" s="26"/>
      <x:c r="D31" s="27"/>
      <x:c r="E31" s="27"/>
      <x:c r="F31" s="38" t="n">
        <x:f>IF(C31="Approved",D31-E31,0)</x:f>
        <x:v>0</x:v>
      </x:c>
      <x:c r="G31" s="26"/>
    </x:row>
    <x:row r="32" ht="20" customHeight="1">
      <x:c r="A32" s="26"/>
      <x:c r="B32" s="26"/>
      <x:c r="C32" s="26"/>
      <x:c r="D32" s="27"/>
      <x:c r="E32" s="27"/>
      <x:c r="F32" s="38" t="n">
        <x:f>IF(C32="Approved",D32-E32,0)</x:f>
        <x:v>0</x:v>
      </x:c>
      <x:c r="G32" s="26"/>
    </x:row>
    <x:row r="33" ht="20" customHeight="1">
      <x:c r="A33" s="26"/>
      <x:c r="B33" s="26"/>
      <x:c r="C33" s="26"/>
      <x:c r="D33" s="27"/>
      <x:c r="E33" s="27"/>
      <x:c r="F33" s="38" t="n">
        <x:f>IF(C33="Approved",D33-E33,0)</x:f>
        <x:v>0</x:v>
      </x:c>
      <x:c r="G33" s="26"/>
    </x:row>
    <x:row r="34" ht="20" customHeight="1">
      <x:c r="A34" s="26"/>
      <x:c r="B34" s="26"/>
      <x:c r="C34" s="26"/>
      <x:c r="D34" s="27"/>
      <x:c r="E34" s="27"/>
      <x:c r="F34" s="38" t="n">
        <x:f>IF(C34="Approved",D34-E34,0)</x:f>
        <x:v>0</x:v>
      </x:c>
      <x:c r="G34" s="26"/>
    </x:row>
    <x:row r="35" ht="20" customHeight="1">
      <x:c r="A35" s="26"/>
      <x:c r="B35" s="26"/>
      <x:c r="C35" s="26"/>
      <x:c r="D35" s="27"/>
      <x:c r="E35" s="27"/>
      <x:c r="F35" s="38" t="n">
        <x:f>IF(C35="Approved",D35-E35,0)</x:f>
        <x:v>0</x:v>
      </x:c>
      <x:c r="G35" s="26"/>
    </x:row>
    <x:row r="36" ht="20" customHeight="1">
      <x:c r="A36" s="26"/>
      <x:c r="B36" s="26"/>
      <x:c r="C36" s="26"/>
      <x:c r="D36" s="27"/>
      <x:c r="E36" s="27"/>
      <x:c r="F36" s="38" t="n">
        <x:f>IF(C36="Approved",D36-E36,0)</x:f>
        <x:v>0</x:v>
      </x:c>
      <x:c r="G36" s="26"/>
    </x:row>
    <x:row r="37" ht="20" customHeight="1">
      <x:c r="A37" s="26"/>
      <x:c r="B37" s="26"/>
      <x:c r="C37" s="26"/>
      <x:c r="D37" s="27"/>
      <x:c r="E37" s="27"/>
      <x:c r="F37" s="38" t="n">
        <x:f>IF(C37="Approved",D37-E37,0)</x:f>
        <x:v>0</x:v>
      </x:c>
      <x:c r="G37" s="26"/>
    </x:row>
    <x:row r="38" ht="20" customHeight="1">
      <x:c r="A38" s="26"/>
      <x:c r="B38" s="26"/>
      <x:c r="C38" s="26"/>
      <x:c r="D38" s="27"/>
      <x:c r="E38" s="27"/>
      <x:c r="F38" s="38" t="n">
        <x:f>IF(C38="Approved",D38-E38,0)</x:f>
        <x:v>0</x:v>
      </x:c>
      <x:c r="G38" s="26"/>
    </x:row>
    <x:row r="39" ht="20" customHeight="1">
      <x:c r="A39" s="26"/>
      <x:c r="B39" s="26"/>
      <x:c r="C39" s="26"/>
      <x:c r="D39" s="27"/>
      <x:c r="E39" s="27"/>
      <x:c r="F39" s="38" t="n">
        <x:f>IF(C39="Approved",D39-E39,0)</x:f>
        <x:v>0</x:v>
      </x:c>
      <x:c r="G39" s="26"/>
    </x:row>
    <x:row r="40" ht="20" customHeight="1">
      <x:c r="A40" s="26"/>
      <x:c r="B40" s="26"/>
      <x:c r="C40" s="26"/>
      <x:c r="D40" s="27"/>
      <x:c r="E40" s="27"/>
      <x:c r="F40" s="38" t="n">
        <x:f>IF(C40="Approved",D40-E40,0)</x:f>
        <x:v>0</x:v>
      </x:c>
      <x:c r="G40" s="26"/>
    </x:row>
    <x:row r="41" ht="20" customHeight="1">
      <x:c r="A41" s="26"/>
      <x:c r="B41" s="26"/>
      <x:c r="C41" s="26"/>
      <x:c r="D41" s="27"/>
      <x:c r="E41" s="27"/>
      <x:c r="F41" s="38" t="n">
        <x:f>IF(C41="Approved",D41-E41,0)</x:f>
        <x:v>0</x:v>
      </x:c>
      <x:c r="G41" s="26"/>
    </x:row>
    <x:row r="42" ht="20" customHeight="1">
      <x:c r="A42" s="26"/>
      <x:c r="B42" s="26"/>
      <x:c r="C42" s="26"/>
      <x:c r="D42" s="27"/>
      <x:c r="E42" s="27"/>
      <x:c r="F42" s="38" t="n">
        <x:f>IF(C42="Approved",D42-E42,0)</x:f>
        <x:v>0</x:v>
      </x:c>
      <x:c r="G42" s="26"/>
    </x:row>
    <x:row r="43" ht="20" customHeight="1">
      <x:c r="A43" s="26"/>
      <x:c r="B43" s="26"/>
      <x:c r="C43" s="26"/>
      <x:c r="D43" s="27"/>
      <x:c r="E43" s="27"/>
      <x:c r="F43" s="38" t="n">
        <x:f>IF(C43="Approved",D43-E43,0)</x:f>
        <x:v>0</x:v>
      </x:c>
      <x:c r="G43" s="26"/>
    </x:row>
    <x:row r="44" ht="20" customHeight="1">
      <x:c r="A44" s="26"/>
      <x:c r="B44" s="26"/>
      <x:c r="C44" s="26"/>
      <x:c r="D44" s="27"/>
      <x:c r="E44" s="27"/>
      <x:c r="F44" s="38" t="n">
        <x:f>IF(C44="Approved",D44-E44,0)</x:f>
        <x:v>0</x:v>
      </x:c>
      <x:c r="G44" s="26"/>
    </x:row>
    <x:row r="45" ht="20" customHeight="1">
      <x:c r="A45" s="26"/>
      <x:c r="B45" s="26"/>
      <x:c r="C45" s="26"/>
      <x:c r="D45" s="27"/>
      <x:c r="E45" s="27"/>
      <x:c r="F45" s="38" t="n">
        <x:f>IF(C45="Approved",D45-E45,0)</x:f>
        <x:v>0</x:v>
      </x:c>
      <x:c r="G45" s="26"/>
    </x:row>
    <x:row r="46" ht="20" customHeight="1">
      <x:c r="A46" s="26"/>
      <x:c r="B46" s="26"/>
      <x:c r="C46" s="26"/>
      <x:c r="D46" s="27"/>
      <x:c r="E46" s="27"/>
      <x:c r="F46" s="38" t="n">
        <x:f>IF(C46="Approved",D46-E46,0)</x:f>
        <x:v>0</x:v>
      </x:c>
      <x:c r="G46" s="26"/>
    </x:row>
    <x:row r="47" ht="20" customHeight="1">
      <x:c r="A47" s="26"/>
      <x:c r="B47" s="26"/>
      <x:c r="C47" s="26"/>
      <x:c r="D47" s="27"/>
      <x:c r="E47" s="27"/>
      <x:c r="F47" s="38" t="n">
        <x:f>IF(C47="Approved",D47-E47,0)</x:f>
        <x:v>0</x:v>
      </x:c>
      <x:c r="G47" s="26"/>
    </x:row>
    <x:row r="48" ht="20" customHeight="1">
      <x:c r="A48" s="26"/>
      <x:c r="B48" s="26"/>
      <x:c r="C48" s="26"/>
      <x:c r="D48" s="27"/>
      <x:c r="E48" s="27"/>
      <x:c r="F48" s="38" t="n">
        <x:f>IF(C48="Approved",D48-E48,0)</x:f>
        <x:v>0</x:v>
      </x:c>
      <x:c r="G48" s="26"/>
    </x:row>
    <x:row r="49" ht="20" customHeight="1">
      <x:c r="A49" s="26"/>
      <x:c r="B49" s="26"/>
      <x:c r="C49" s="26"/>
      <x:c r="D49" s="27"/>
      <x:c r="E49" s="27"/>
      <x:c r="F49" s="38" t="n">
        <x:f>IF(C49="Approved",D49-E49,0)</x:f>
        <x:v>0</x:v>
      </x:c>
      <x:c r="G49" s="26"/>
    </x:row>
    <x:row r="50" ht="20" customHeight="1">
      <x:c r="A50" s="26"/>
      <x:c r="B50" s="26"/>
      <x:c r="C50" s="26"/>
      <x:c r="D50" s="27"/>
      <x:c r="E50" s="27"/>
      <x:c r="F50" s="38" t="n">
        <x:f>IF(C50="Approved",D50-E50,0)</x:f>
        <x:v>0</x:v>
      </x:c>
      <x:c r="G50" s="26"/>
    </x:row>
    <x:row r="51" ht="20" customHeight="1">
      <x:c r="A51" s="26"/>
      <x:c r="B51" s="26"/>
      <x:c r="C51" s="26"/>
      <x:c r="D51" s="27"/>
      <x:c r="E51" s="27"/>
      <x:c r="F51" s="38" t="n">
        <x:f>IF(C51="Approved",D51-E51,0)</x:f>
        <x:v>0</x:v>
      </x:c>
      <x:c r="G51" s="26"/>
    </x:row>
    <x:row r="52" ht="20" customHeight="1">
      <x:c r="A52" s="26"/>
      <x:c r="B52" s="26"/>
      <x:c r="C52" s="26"/>
      <x:c r="D52" s="27"/>
      <x:c r="E52" s="27"/>
      <x:c r="F52" s="38" t="n">
        <x:f>IF(C52="Approved",D52-E52,0)</x:f>
        <x:v>0</x:v>
      </x:c>
      <x:c r="G52" s="26"/>
    </x:row>
    <x:row r="53" ht="20" customHeight="1">
      <x:c r="A53" s="26"/>
      <x:c r="B53" s="26"/>
      <x:c r="C53" s="26"/>
      <x:c r="D53" s="27"/>
      <x:c r="E53" s="27"/>
      <x:c r="F53" s="38" t="n">
        <x:f>IF(C53="Approved",D53-E53,0)</x:f>
        <x:v>0</x:v>
      </x:c>
      <x:c r="G53" s="26"/>
    </x:row>
    <x:row r="54" ht="20" customHeight="1">
      <x:c r="A54" s="26"/>
      <x:c r="B54" s="26"/>
      <x:c r="C54" s="26"/>
      <x:c r="D54" s="27"/>
      <x:c r="E54" s="27"/>
      <x:c r="F54" s="38" t="n">
        <x:f>IF(C54="Approved",D54-E54,0)</x:f>
        <x:v>0</x:v>
      </x:c>
      <x:c r="G54" s="26"/>
    </x:row>
    <x:row r="55" ht="20" customHeight="1">
      <x:c r="A55" s="26"/>
      <x:c r="B55" s="26"/>
      <x:c r="C55" s="26"/>
      <x:c r="D55" s="27"/>
      <x:c r="E55" s="27"/>
      <x:c r="F55" s="38" t="n">
        <x:f>IF(C55="Approved",D55-E55,0)</x:f>
        <x:v>0</x:v>
      </x:c>
      <x:c r="G55" s="26"/>
    </x:row>
    <x:row r="56" ht="20" customHeight="1">
      <x:c r="A56" s="26"/>
      <x:c r="B56" s="26"/>
      <x:c r="C56" s="26"/>
      <x:c r="D56" s="27"/>
      <x:c r="E56" s="27"/>
      <x:c r="F56" s="38" t="n">
        <x:f>IF(C56="Approved",D56-E56,0)</x:f>
        <x:v>0</x:v>
      </x:c>
      <x:c r="G56" s="26"/>
    </x:row>
    <x:row r="57" ht="20" customHeight="1">
      <x:c r="A57" s="26"/>
      <x:c r="B57" s="26"/>
      <x:c r="C57" s="26"/>
      <x:c r="D57" s="27"/>
      <x:c r="E57" s="27"/>
      <x:c r="F57" s="38" t="n">
        <x:f>IF(C57="Approved",D57-E57,0)</x:f>
        <x:v>0</x:v>
      </x:c>
      <x:c r="G57" s="26"/>
    </x:row>
    <x:row r="58" ht="20" customHeight="1">
      <x:c r="A58" s="26"/>
      <x:c r="B58" s="26"/>
      <x:c r="C58" s="26"/>
      <x:c r="D58" s="27"/>
      <x:c r="E58" s="27"/>
      <x:c r="F58" s="38" t="n">
        <x:f>IF(C58="Approved",D58-E58,0)</x:f>
        <x:v>0</x:v>
      </x:c>
      <x:c r="G58" s="26"/>
    </x:row>
    <x:row r="59" ht="20" customHeight="1">
      <x:c r="A59" s="26"/>
      <x:c r="B59" s="26"/>
      <x:c r="C59" s="26"/>
      <x:c r="D59" s="27"/>
      <x:c r="E59" s="27"/>
      <x:c r="F59" s="38" t="n">
        <x:f>IF(C59="Approved",D59-E59,0)</x:f>
        <x:v>0</x:v>
      </x:c>
      <x:c r="G59" s="26"/>
    </x:row>
    <x:row r="60" ht="20" customHeight="1">
      <x:c r="A60" s="26"/>
      <x:c r="B60" s="26"/>
      <x:c r="C60" s="26"/>
      <x:c r="D60" s="27"/>
      <x:c r="E60" s="27"/>
      <x:c r="F60" s="38" t="n">
        <x:f>IF(C60="Approved",D60-E60,0)</x:f>
        <x:v>0</x:v>
      </x:c>
      <x:c r="G60" s="26"/>
    </x:row>
    <x:row r="61" ht="20" customHeight="1">
      <x:c r="A61" s="26"/>
      <x:c r="B61" s="26"/>
      <x:c r="C61" s="26"/>
      <x:c r="D61" s="27"/>
      <x:c r="E61" s="27"/>
      <x:c r="F61" s="38" t="n">
        <x:f>IF(C61="Approved",D61-E61,0)</x:f>
        <x:v>0</x:v>
      </x:c>
      <x:c r="G61" s="26"/>
    </x:row>
    <x:row r="62" ht="20" customHeight="1">
      <x:c r="A62" s="26"/>
      <x:c r="B62" s="26"/>
      <x:c r="C62" s="26"/>
      <x:c r="D62" s="27"/>
      <x:c r="E62" s="27"/>
      <x:c r="F62" s="38" t="n">
        <x:f>IF(C62="Approved",D62-E62,0)</x:f>
        <x:v>0</x:v>
      </x:c>
      <x:c r="G62" s="26"/>
    </x:row>
    <x:row r="63" ht="20" customHeight="1">
      <x:c r="A63" s="26"/>
      <x:c r="B63" s="26"/>
      <x:c r="C63" s="26"/>
      <x:c r="D63" s="27"/>
      <x:c r="E63" s="27"/>
      <x:c r="F63" s="38" t="n">
        <x:f>IF(C63="Approved",D63-E63,0)</x:f>
        <x:v>0</x:v>
      </x:c>
      <x:c r="G63" s="26"/>
    </x:row>
    <x:row r="64" ht="20" customHeight="1">
      <x:c r="A64" s="26"/>
      <x:c r="B64" s="26"/>
      <x:c r="C64" s="26"/>
      <x:c r="D64" s="27"/>
      <x:c r="E64" s="27"/>
      <x:c r="F64" s="38" t="n">
        <x:f>IF(C64="Approved",D64-E64,0)</x:f>
        <x:v>0</x:v>
      </x:c>
      <x:c r="G64" s="26"/>
    </x:row>
    <x:row r="65" ht="20" customHeight="1">
      <x:c r="A65" s="26"/>
      <x:c r="B65" s="26"/>
      <x:c r="C65" s="26"/>
      <x:c r="D65" s="27"/>
      <x:c r="E65" s="27"/>
      <x:c r="F65" s="38" t="n">
        <x:f>IF(C65="Approved",D65-E65,0)</x:f>
        <x:v>0</x:v>
      </x:c>
      <x:c r="G65" s="26"/>
    </x:row>
    <x:row r="66" ht="20" customHeight="1">
      <x:c r="A66" s="26"/>
      <x:c r="B66" s="26"/>
      <x:c r="C66" s="26"/>
      <x:c r="D66" s="27"/>
      <x:c r="E66" s="27"/>
      <x:c r="F66" s="38" t="n">
        <x:f>IF(C66="Approved",D66-E66,0)</x:f>
        <x:v>0</x:v>
      </x:c>
      <x:c r="G66" s="26"/>
    </x:row>
    <x:row r="67" ht="20" customHeight="1">
      <x:c r="A67" s="26"/>
      <x:c r="B67" s="26"/>
      <x:c r="C67" s="26"/>
      <x:c r="D67" s="27"/>
      <x:c r="E67" s="27"/>
      <x:c r="F67" s="38" t="n">
        <x:f>IF(C67="Approved",D67-E67,0)</x:f>
        <x:v>0</x:v>
      </x:c>
      <x:c r="G67" s="26"/>
    </x:row>
    <x:row r="68" ht="20" customHeight="1">
      <x:c r="A68" s="26"/>
      <x:c r="B68" s="26"/>
      <x:c r="C68" s="26"/>
      <x:c r="D68" s="27"/>
      <x:c r="E68" s="27"/>
      <x:c r="F68" s="38" t="n">
        <x:f>IF(C68="Approved",D68-E68,0)</x:f>
        <x:v>0</x:v>
      </x:c>
      <x:c r="G68" s="26"/>
    </x:row>
    <x:row r="69" ht="20" customHeight="1">
      <x:c r="A69" s="26"/>
      <x:c r="B69" s="26"/>
      <x:c r="C69" s="26"/>
      <x:c r="D69" s="27"/>
      <x:c r="E69" s="27"/>
      <x:c r="F69" s="38" t="n">
        <x:f>IF(C69="Approved",D69-E69,0)</x:f>
        <x:v>0</x:v>
      </x:c>
      <x:c r="G69" s="26"/>
    </x:row>
    <x:row r="70" ht="20" customHeight="1">
      <x:c r="A70" s="26"/>
      <x:c r="B70" s="26"/>
      <x:c r="C70" s="26"/>
      <x:c r="D70" s="27"/>
      <x:c r="E70" s="27"/>
      <x:c r="F70" s="38" t="n">
        <x:f>IF(C70="Approved",D70-E70,0)</x:f>
        <x:v>0</x:v>
      </x:c>
      <x:c r="G70" s="26"/>
    </x:row>
    <x:row r="71" ht="20" customHeight="1">
      <x:c r="A71" s="26"/>
      <x:c r="B71" s="26"/>
      <x:c r="C71" s="26"/>
      <x:c r="D71" s="27"/>
      <x:c r="E71" s="27"/>
      <x:c r="F71" s="38" t="n">
        <x:f>IF(C71="Approved",D71-E71,0)</x:f>
        <x:v>0</x:v>
      </x:c>
      <x:c r="G71" s="26"/>
    </x:row>
    <x:row r="72" ht="20" customHeight="1">
      <x:c r="A72" s="26"/>
      <x:c r="B72" s="26"/>
      <x:c r="C72" s="26"/>
      <x:c r="D72" s="27"/>
      <x:c r="E72" s="27"/>
      <x:c r="F72" s="38" t="n">
        <x:f>IF(C72="Approved",D72-E72,0)</x:f>
        <x:v>0</x:v>
      </x:c>
      <x:c r="G72" s="26"/>
    </x:row>
    <x:row r="73" ht="20" customHeight="1">
      <x:c r="A73" s="26"/>
      <x:c r="B73" s="26"/>
      <x:c r="C73" s="26"/>
      <x:c r="D73" s="27"/>
      <x:c r="E73" s="27"/>
      <x:c r="F73" s="38" t="n">
        <x:f>IF(C73="Approved",D73-E73,0)</x:f>
        <x:v>0</x:v>
      </x:c>
      <x:c r="G73" s="26"/>
    </x:row>
    <x:row r="74" ht="20" customHeight="1">
      <x:c r="A74" s="26"/>
      <x:c r="B74" s="26"/>
      <x:c r="C74" s="26"/>
      <x:c r="D74" s="27"/>
      <x:c r="E74" s="27"/>
      <x:c r="F74" s="38" t="n">
        <x:f>IF(C74="Approved",D74-E74,0)</x:f>
        <x:v>0</x:v>
      </x:c>
      <x:c r="G74" s="26"/>
    </x:row>
    <x:row r="75" ht="20" customHeight="1">
      <x:c r="A75" s="26"/>
      <x:c r="B75" s="26"/>
      <x:c r="C75" s="26"/>
      <x:c r="D75" s="27"/>
      <x:c r="E75" s="27"/>
      <x:c r="F75" s="38" t="n">
        <x:f>IF(C75="Approved",D75-E75,0)</x:f>
        <x:v>0</x:v>
      </x:c>
      <x:c r="G75" s="26"/>
    </x:row>
    <x:row r="76" ht="20" customHeight="1">
      <x:c r="A76" s="26"/>
      <x:c r="B76" s="26"/>
      <x:c r="C76" s="26"/>
      <x:c r="D76" s="27"/>
      <x:c r="E76" s="27"/>
      <x:c r="F76" s="38" t="n">
        <x:f>IF(C76="Approved",D76-E76,0)</x:f>
        <x:v>0</x:v>
      </x:c>
      <x:c r="G76" s="26"/>
    </x:row>
    <x:row r="77" ht="20" customHeight="1">
      <x:c r="A77" s="26"/>
      <x:c r="B77" s="26"/>
      <x:c r="C77" s="26"/>
      <x:c r="D77" s="27"/>
      <x:c r="E77" s="27"/>
      <x:c r="F77" s="38" t="n">
        <x:f>IF(C77="Approved",D77-E77,0)</x:f>
        <x:v>0</x:v>
      </x:c>
      <x:c r="G77" s="26"/>
    </x:row>
    <x:row r="78" ht="20" customHeight="1">
      <x:c r="A78" s="26"/>
      <x:c r="B78" s="26"/>
      <x:c r="C78" s="26"/>
      <x:c r="D78" s="27"/>
      <x:c r="E78" s="27"/>
      <x:c r="F78" s="38" t="n">
        <x:f>IF(C78="Approved",D78-E78,0)</x:f>
        <x:v>0</x:v>
      </x:c>
      <x:c r="G78" s="26"/>
    </x:row>
    <x:row r="79" ht="20" customHeight="1">
      <x:c r="A79" s="26"/>
      <x:c r="B79" s="26"/>
      <x:c r="C79" s="26"/>
      <x:c r="D79" s="27"/>
      <x:c r="E79" s="27"/>
      <x:c r="F79" s="38" t="n">
        <x:f>IF(C79="Approved",D79-E79,0)</x:f>
        <x:v>0</x:v>
      </x:c>
      <x:c r="G79" s="26"/>
    </x:row>
    <x:row r="80" ht="20" customHeight="1">
      <x:c r="A80" s="26"/>
      <x:c r="B80" s="26"/>
      <x:c r="C80" s="26"/>
      <x:c r="D80" s="27"/>
      <x:c r="E80" s="27"/>
      <x:c r="F80" s="38" t="n">
        <x:f>IF(C80="Approved",D80-E80,0)</x:f>
        <x:v>0</x:v>
      </x:c>
      <x:c r="G80" s="26"/>
    </x:row>
    <x:row r="81" ht="20" customHeight="1">
      <x:c r="A81" s="26"/>
      <x:c r="B81" s="26"/>
      <x:c r="C81" s="26"/>
      <x:c r="D81" s="27"/>
      <x:c r="E81" s="27"/>
      <x:c r="F81" s="38" t="n">
        <x:f>IF(C81="Approved",D81-E81,0)</x:f>
        <x:v>0</x:v>
      </x:c>
      <x:c r="G81" s="26"/>
    </x:row>
    <x:row r="82" ht="20" customHeight="1">
      <x:c r="A82" s="26"/>
      <x:c r="B82" s="26"/>
      <x:c r="C82" s="26"/>
      <x:c r="D82" s="27"/>
      <x:c r="E82" s="27"/>
      <x:c r="F82" s="38" t="n">
        <x:f>IF(C82="Approved",D82-E82,0)</x:f>
        <x:v>0</x:v>
      </x:c>
      <x:c r="G82" s="26"/>
    </x:row>
    <x:row r="83" ht="20" customHeight="1">
      <x:c r="A83" s="26"/>
      <x:c r="B83" s="26"/>
      <x:c r="C83" s="26"/>
      <x:c r="D83" s="27"/>
      <x:c r="E83" s="27"/>
      <x:c r="F83" s="38" t="n">
        <x:f>IF(C83="Approved",D83-E83,0)</x:f>
        <x:v>0</x:v>
      </x:c>
      <x:c r="G83" s="26"/>
    </x:row>
    <x:row r="84" ht="20" customHeight="1">
      <x:c r="A84" s="26"/>
      <x:c r="B84" s="26"/>
      <x:c r="C84" s="26"/>
      <x:c r="D84" s="27"/>
      <x:c r="E84" s="27"/>
      <x:c r="F84" s="38" t="n">
        <x:f>IF(C84="Approved",D84-E84,0)</x:f>
        <x:v>0</x:v>
      </x:c>
      <x:c r="G84" s="26"/>
    </x:row>
    <x:row r="85" ht="20" customHeight="1">
      <x:c r="A85" s="26"/>
      <x:c r="B85" s="26"/>
      <x:c r="C85" s="26"/>
      <x:c r="D85" s="27"/>
      <x:c r="E85" s="27"/>
      <x:c r="F85" s="38" t="n">
        <x:f>IF(C85="Approved",D85-E85,0)</x:f>
        <x:v>0</x:v>
      </x:c>
      <x:c r="G85" s="26"/>
    </x:row>
    <x:row r="86" ht="20" customHeight="1">
      <x:c r="A86" s="26"/>
      <x:c r="B86" s="26"/>
      <x:c r="C86" s="26"/>
      <x:c r="D86" s="27"/>
      <x:c r="E86" s="27"/>
      <x:c r="F86" s="38" t="n">
        <x:f>IF(C86="Approved",D86-E86,0)</x:f>
        <x:v>0</x:v>
      </x:c>
      <x:c r="G86" s="26"/>
    </x:row>
    <x:row r="87" ht="20" customHeight="1">
      <x:c r="A87" s="26"/>
      <x:c r="B87" s="26"/>
      <x:c r="C87" s="26"/>
      <x:c r="D87" s="27"/>
      <x:c r="E87" s="27"/>
      <x:c r="F87" s="38" t="n">
        <x:f>IF(C87="Approved",D87-E87,0)</x:f>
        <x:v>0</x:v>
      </x:c>
      <x:c r="G87" s="26"/>
    </x:row>
    <x:row r="88" ht="20" customHeight="1">
      <x:c r="A88" s="26"/>
      <x:c r="B88" s="26"/>
      <x:c r="C88" s="26"/>
      <x:c r="D88" s="27"/>
      <x:c r="E88" s="27"/>
      <x:c r="F88" s="38" t="n">
        <x:f>IF(C88="Approved",D88-E88,0)</x:f>
        <x:v>0</x:v>
      </x:c>
      <x:c r="G88" s="26"/>
    </x:row>
    <x:row r="89" ht="20" customHeight="1">
      <x:c r="A89" s="26"/>
      <x:c r="B89" s="26"/>
      <x:c r="C89" s="26"/>
      <x:c r="D89" s="27"/>
      <x:c r="E89" s="27"/>
      <x:c r="F89" s="38" t="n">
        <x:f>IF(C89="Approved",D89-E89,0)</x:f>
        <x:v>0</x:v>
      </x:c>
      <x:c r="G89" s="26"/>
    </x:row>
    <x:row r="90" ht="20" customHeight="1">
      <x:c r="A90" s="26"/>
      <x:c r="B90" s="26"/>
      <x:c r="C90" s="26"/>
      <x:c r="D90" s="27"/>
      <x:c r="E90" s="27"/>
      <x:c r="F90" s="38" t="n">
        <x:f>IF(C90="Approved",D90-E90,0)</x:f>
        <x:v>0</x:v>
      </x:c>
      <x:c r="G90" s="26"/>
    </x:row>
    <x:row r="91" ht="20" customHeight="1">
      <x:c r="A91" s="26"/>
      <x:c r="B91" s="26"/>
      <x:c r="C91" s="26"/>
      <x:c r="D91" s="27"/>
      <x:c r="E91" s="27"/>
      <x:c r="F91" s="38" t="n">
        <x:f>IF(C91="Approved",D91-E91,0)</x:f>
        <x:v>0</x:v>
      </x:c>
      <x:c r="G91" s="26"/>
    </x:row>
    <x:row r="92" ht="20" customHeight="1">
      <x:c r="A92" s="26"/>
      <x:c r="B92" s="26"/>
      <x:c r="C92" s="26"/>
      <x:c r="D92" s="27"/>
      <x:c r="E92" s="27"/>
      <x:c r="F92" s="38" t="n">
        <x:f>IF(C92="Approved",D92-E92,0)</x:f>
        <x:v>0</x:v>
      </x:c>
      <x:c r="G92" s="26"/>
    </x:row>
    <x:row r="93" ht="20" customHeight="1">
      <x:c r="A93" s="26"/>
      <x:c r="B93" s="26"/>
      <x:c r="C93" s="26"/>
      <x:c r="D93" s="27"/>
      <x:c r="E93" s="27"/>
      <x:c r="F93" s="38" t="n">
        <x:f>IF(C93="Approved",D93-E93,0)</x:f>
        <x:v>0</x:v>
      </x:c>
      <x:c r="G93" s="26"/>
    </x:row>
    <x:row r="94" ht="20" customHeight="1">
      <x:c r="A94" s="26"/>
      <x:c r="B94" s="26"/>
      <x:c r="C94" s="26"/>
      <x:c r="D94" s="27"/>
      <x:c r="E94" s="27"/>
      <x:c r="F94" s="38" t="n">
        <x:f>IF(C94="Approved",D94-E94,0)</x:f>
        <x:v>0</x:v>
      </x:c>
      <x:c r="G94" s="26"/>
    </x:row>
    <x:row r="95" ht="20" customHeight="1">
      <x:c r="A95" s="26"/>
      <x:c r="B95" s="26"/>
      <x:c r="C95" s="26"/>
      <x:c r="D95" s="27"/>
      <x:c r="E95" s="27"/>
      <x:c r="F95" s="38" t="n">
        <x:f>IF(C95="Approved",D95-E95,0)</x:f>
        <x:v>0</x:v>
      </x:c>
      <x:c r="G95" s="26"/>
    </x:row>
    <x:row r="96" ht="20" customHeight="1">
      <x:c r="A96" s="26"/>
      <x:c r="B96" s="26"/>
      <x:c r="C96" s="26"/>
      <x:c r="D96" s="27"/>
      <x:c r="E96" s="27"/>
      <x:c r="F96" s="38" t="n">
        <x:f>IF(C96="Approved",D96-E96,0)</x:f>
        <x:v>0</x:v>
      </x:c>
      <x:c r="G96" s="26"/>
    </x:row>
    <x:row r="97" ht="20" customHeight="1">
      <x:c r="A97" s="26"/>
      <x:c r="B97" s="26"/>
      <x:c r="C97" s="26"/>
      <x:c r="D97" s="27"/>
      <x:c r="E97" s="27"/>
      <x:c r="F97" s="38" t="n">
        <x:f>IF(C97="Approved",D97-E97,0)</x:f>
        <x:v>0</x:v>
      </x:c>
      <x:c r="G97" s="26"/>
    </x:row>
    <x:row r="98" ht="20" customHeight="1">
      <x:c r="A98" s="26"/>
      <x:c r="B98" s="26"/>
      <x:c r="C98" s="26"/>
      <x:c r="D98" s="27"/>
      <x:c r="E98" s="27"/>
      <x:c r="F98" s="38" t="n">
        <x:f>IF(C98="Approved",D98-E98,0)</x:f>
        <x:v>0</x:v>
      </x:c>
      <x:c r="G98" s="26"/>
    </x:row>
    <x:row r="99" ht="20" customHeight="1">
      <x:c r="A99" s="26"/>
      <x:c r="B99" s="26"/>
      <x:c r="C99" s="26"/>
      <x:c r="D99" s="27"/>
      <x:c r="E99" s="27"/>
      <x:c r="F99" s="38" t="n">
        <x:f>IF(C99="Approved",D99-E99,0)</x:f>
        <x:v>0</x:v>
      </x:c>
      <x:c r="G99" s="26"/>
    </x:row>
    <x:row r="100" ht="20" customHeight="1">
      <x:c r="A100" s="26"/>
      <x:c r="B100" s="26"/>
      <x:c r="C100" s="26"/>
      <x:c r="D100" s="27"/>
      <x:c r="E100" s="27"/>
      <x:c r="F100" s="38" t="n">
        <x:f>IF(C100="Approved",D100-E100,0)</x:f>
        <x:v>0</x:v>
      </x:c>
      <x:c r="G100" s="26"/>
    </x:row>
    <x:row r="101" ht="20" customHeight="1">
      <x:c r="A101" s="26"/>
      <x:c r="B101" s="26"/>
      <x:c r="C101" s="26"/>
      <x:c r="D101" s="27"/>
      <x:c r="E101" s="27"/>
      <x:c r="F101" s="38" t="n">
        <x:f>IF(C101="Approved",D101-E101,0)</x:f>
        <x:v>0</x:v>
      </x:c>
      <x:c r="G101" s="26"/>
    </x:row>
    <x:row r="102" ht="20" customHeight="1">
      <x:c r="A102" s="26"/>
      <x:c r="B102" s="26"/>
      <x:c r="C102" s="26"/>
      <x:c r="D102" s="27"/>
      <x:c r="E102" s="27"/>
      <x:c r="F102" s="38" t="n">
        <x:f>IF(C102="Approved",D102-E102,0)</x:f>
        <x:v>0</x:v>
      </x:c>
      <x:c r="G102" s="26"/>
    </x:row>
    <x:row r="103" ht="20" customHeight="1">
      <x:c r="A103" s="26"/>
      <x:c r="B103" s="26"/>
      <x:c r="C103" s="26"/>
      <x:c r="D103" s="27"/>
      <x:c r="E103" s="27"/>
      <x:c r="F103" s="38" t="n">
        <x:f>IF(C103="Approved",D103-E103,0)</x:f>
        <x:v>0</x:v>
      </x:c>
      <x:c r="G103" s="26"/>
    </x:row>
  </x:sheetData>
  <x:mergeCells>
    <x:mergeCell ref="A1:G1"/>
  </x:mergeCells>
  <x:dataValidations count="1">
    <x:dataValidation type="list" sqref="C4:C103">
      <x:formula1>"Draft,Pending,Approved,Rejected"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32" hidden="0" customWidth="1"/>
    <x:col min="3" max="3" width="25" hidden="0" customWidth="1"/>
    <x:col min="4" max="4" width="24" hidden="0" customWidth="1"/>
    <x:col min="5" max="5" width="49" hidden="0" customWidth="1"/>
  </x:cols>
  <x:sheetData>
    <x:row r="1" ht="35" customHeight="1">
      <x:c r="A1" s="4" t="str">
        <x:v>PAYMENTS RECEIVED  |  CASH ACTUALLY COLLECTED</x:v>
      </x:c>
      <x:c r="B1" s="4"/>
      <x:c r="C1" s="4"/>
      <x:c r="D1" s="4"/>
      <x:c r="E1" s="4"/>
    </x:row>
    <x:row r="3" ht="27" customHeight="1">
      <x:c r="A3" s="10" t="str">
        <x:v>DATE</x:v>
      </x:c>
      <x:c r="B3" s="10" t="str">
        <x:v>PAYMENT REFERENCE</x:v>
      </x:c>
      <x:c r="C3" s="10" t="str">
        <x:v>AMOUNT RECEIVED ($)</x:v>
      </x:c>
      <x:c r="D3" s="10" t="str">
        <x:v>PAYMENT METHOD</x:v>
      </x:c>
      <x:c r="E3" s="10" t="str">
        <x:v>NOTES</x:v>
      </x:c>
    </x:row>
    <x:row r="4" ht="20" customHeight="1">
      <x:c r="A4" s="29" t="n">
        <x:v>46302</x:v>
      </x:c>
      <x:c r="B4" s="26" t="str">
        <x:v>Deposit-001</x:v>
      </x:c>
      <x:c r="C4" s="27" t="n">
        <x:v>1500</x:v>
      </x:c>
      <x:c r="D4" s="26" t="str">
        <x:v>Bank transfer</x:v>
      </x:c>
      <x:c r="E4" s="26" t="str">
        <x:v>Fictional demo</x:v>
      </x:c>
    </x:row>
    <x:row r="5" ht="20" customHeight="1">
      <x:c r="A5" s="29" t="n">
        <x:v>46305</x:v>
      </x:c>
      <x:c r="B5" s="26" t="str">
        <x:v>Progress-001</x:v>
      </x:c>
      <x:c r="C5" s="27" t="n">
        <x:v>1000</x:v>
      </x:c>
      <x:c r="D5" s="26" t="str">
        <x:v>Bank transfer</x:v>
      </x:c>
      <x:c r="E5" s="26" t="str">
        <x:v>Fictional demo</x:v>
      </x:c>
    </x:row>
    <x:row r="6" ht="20" customHeight="1">
      <x:c r="A6" s="29"/>
      <x:c r="B6" s="26"/>
      <x:c r="C6" s="27"/>
      <x:c r="D6" s="26"/>
      <x:c r="E6" s="26"/>
    </x:row>
    <x:row r="7" ht="20" customHeight="1">
      <x:c r="A7" s="29"/>
      <x:c r="B7" s="26"/>
      <x:c r="C7" s="27"/>
      <x:c r="D7" s="26"/>
      <x:c r="E7" s="26"/>
    </x:row>
    <x:row r="8" ht="20" customHeight="1">
      <x:c r="A8" s="29"/>
      <x:c r="B8" s="26"/>
      <x:c r="C8" s="27"/>
      <x:c r="D8" s="26"/>
      <x:c r="E8" s="26"/>
    </x:row>
    <x:row r="9" ht="20" customHeight="1">
      <x:c r="A9" s="29"/>
      <x:c r="B9" s="26"/>
      <x:c r="C9" s="27"/>
      <x:c r="D9" s="26"/>
      <x:c r="E9" s="26"/>
    </x:row>
    <x:row r="10" ht="20" customHeight="1">
      <x:c r="A10" s="29"/>
      <x:c r="B10" s="26"/>
      <x:c r="C10" s="27"/>
      <x:c r="D10" s="26"/>
      <x:c r="E10" s="26"/>
    </x:row>
    <x:row r="11" ht="20" customHeight="1">
      <x:c r="A11" s="29"/>
      <x:c r="B11" s="26"/>
      <x:c r="C11" s="27"/>
      <x:c r="D11" s="26"/>
      <x:c r="E11" s="26"/>
    </x:row>
    <x:row r="12" ht="20" customHeight="1">
      <x:c r="A12" s="29"/>
      <x:c r="B12" s="26"/>
      <x:c r="C12" s="27"/>
      <x:c r="D12" s="26"/>
      <x:c r="E12" s="26"/>
    </x:row>
    <x:row r="13" ht="20" customHeight="1">
      <x:c r="A13" s="29"/>
      <x:c r="B13" s="26"/>
      <x:c r="C13" s="27"/>
      <x:c r="D13" s="26"/>
      <x:c r="E13" s="26"/>
    </x:row>
    <x:row r="14" ht="20" customHeight="1">
      <x:c r="A14" s="29"/>
      <x:c r="B14" s="26"/>
      <x:c r="C14" s="27"/>
      <x:c r="D14" s="26"/>
      <x:c r="E14" s="26"/>
    </x:row>
    <x:row r="15" ht="20" customHeight="1">
      <x:c r="A15" s="29"/>
      <x:c r="B15" s="26"/>
      <x:c r="C15" s="27"/>
      <x:c r="D15" s="26"/>
      <x:c r="E15" s="26"/>
    </x:row>
    <x:row r="16" ht="20" customHeight="1">
      <x:c r="A16" s="29"/>
      <x:c r="B16" s="26"/>
      <x:c r="C16" s="27"/>
      <x:c r="D16" s="26"/>
      <x:c r="E16" s="26"/>
    </x:row>
    <x:row r="17" ht="20" customHeight="1">
      <x:c r="A17" s="29"/>
      <x:c r="B17" s="26"/>
      <x:c r="C17" s="27"/>
      <x:c r="D17" s="26"/>
      <x:c r="E17" s="26"/>
    </x:row>
    <x:row r="18" ht="20" customHeight="1">
      <x:c r="A18" s="29"/>
      <x:c r="B18" s="26"/>
      <x:c r="C18" s="27"/>
      <x:c r="D18" s="26"/>
      <x:c r="E18" s="26"/>
    </x:row>
    <x:row r="19" ht="20" customHeight="1">
      <x:c r="A19" s="29"/>
      <x:c r="B19" s="26"/>
      <x:c r="C19" s="27"/>
      <x:c r="D19" s="26"/>
      <x:c r="E19" s="26"/>
    </x:row>
    <x:row r="20" ht="20" customHeight="1">
      <x:c r="A20" s="29"/>
      <x:c r="B20" s="26"/>
      <x:c r="C20" s="27"/>
      <x:c r="D20" s="26"/>
      <x:c r="E20" s="26"/>
    </x:row>
    <x:row r="21" ht="20" customHeight="1">
      <x:c r="A21" s="29"/>
      <x:c r="B21" s="26"/>
      <x:c r="C21" s="27"/>
      <x:c r="D21" s="26"/>
      <x:c r="E21" s="26"/>
    </x:row>
    <x:row r="22" ht="20" customHeight="1">
      <x:c r="A22" s="29"/>
      <x:c r="B22" s="26"/>
      <x:c r="C22" s="27"/>
      <x:c r="D22" s="26"/>
      <x:c r="E22" s="26"/>
    </x:row>
    <x:row r="23" ht="20" customHeight="1">
      <x:c r="A23" s="29"/>
      <x:c r="B23" s="26"/>
      <x:c r="C23" s="27"/>
      <x:c r="D23" s="26"/>
      <x:c r="E23" s="26"/>
    </x:row>
    <x:row r="24" ht="20" customHeight="1">
      <x:c r="A24" s="29"/>
      <x:c r="B24" s="26"/>
      <x:c r="C24" s="27"/>
      <x:c r="D24" s="26"/>
      <x:c r="E24" s="26"/>
    </x:row>
    <x:row r="25" ht="20" customHeight="1">
      <x:c r="A25" s="29"/>
      <x:c r="B25" s="26"/>
      <x:c r="C25" s="27"/>
      <x:c r="D25" s="26"/>
      <x:c r="E25" s="26"/>
    </x:row>
    <x:row r="26" ht="20" customHeight="1">
      <x:c r="A26" s="29"/>
      <x:c r="B26" s="26"/>
      <x:c r="C26" s="27"/>
      <x:c r="D26" s="26"/>
      <x:c r="E26" s="26"/>
    </x:row>
    <x:row r="27" ht="20" customHeight="1">
      <x:c r="A27" s="29"/>
      <x:c r="B27" s="26"/>
      <x:c r="C27" s="27"/>
      <x:c r="D27" s="26"/>
      <x:c r="E27" s="26"/>
    </x:row>
    <x:row r="28" ht="20" customHeight="1">
      <x:c r="A28" s="29"/>
      <x:c r="B28" s="26"/>
      <x:c r="C28" s="27"/>
      <x:c r="D28" s="26"/>
      <x:c r="E28" s="26"/>
    </x:row>
    <x:row r="29" ht="20" customHeight="1">
      <x:c r="A29" s="29"/>
      <x:c r="B29" s="26"/>
      <x:c r="C29" s="27"/>
      <x:c r="D29" s="26"/>
      <x:c r="E29" s="26"/>
    </x:row>
    <x:row r="30" ht="20" customHeight="1">
      <x:c r="A30" s="29"/>
      <x:c r="B30" s="26"/>
      <x:c r="C30" s="27"/>
      <x:c r="D30" s="26"/>
      <x:c r="E30" s="26"/>
    </x:row>
    <x:row r="31" ht="20" customHeight="1">
      <x:c r="A31" s="29"/>
      <x:c r="B31" s="26"/>
      <x:c r="C31" s="27"/>
      <x:c r="D31" s="26"/>
      <x:c r="E31" s="26"/>
    </x:row>
    <x:row r="32" ht="20" customHeight="1">
      <x:c r="A32" s="29"/>
      <x:c r="B32" s="26"/>
      <x:c r="C32" s="27"/>
      <x:c r="D32" s="26"/>
      <x:c r="E32" s="26"/>
    </x:row>
    <x:row r="33" ht="20" customHeight="1">
      <x:c r="A33" s="29"/>
      <x:c r="B33" s="26"/>
      <x:c r="C33" s="27"/>
      <x:c r="D33" s="26"/>
      <x:c r="E33" s="26"/>
    </x:row>
    <x:row r="34" ht="20" customHeight="1">
      <x:c r="A34" s="29"/>
      <x:c r="B34" s="26"/>
      <x:c r="C34" s="27"/>
      <x:c r="D34" s="26"/>
      <x:c r="E34" s="26"/>
    </x:row>
    <x:row r="35" ht="20" customHeight="1">
      <x:c r="A35" s="29"/>
      <x:c r="B35" s="26"/>
      <x:c r="C35" s="27"/>
      <x:c r="D35" s="26"/>
      <x:c r="E35" s="26"/>
    </x:row>
    <x:row r="36" ht="20" customHeight="1">
      <x:c r="A36" s="29"/>
      <x:c r="B36" s="26"/>
      <x:c r="C36" s="27"/>
      <x:c r="D36" s="26"/>
      <x:c r="E36" s="26"/>
    </x:row>
    <x:row r="37" ht="20" customHeight="1">
      <x:c r="A37" s="29"/>
      <x:c r="B37" s="26"/>
      <x:c r="C37" s="27"/>
      <x:c r="D37" s="26"/>
      <x:c r="E37" s="26"/>
    </x:row>
    <x:row r="38" ht="20" customHeight="1">
      <x:c r="A38" s="29"/>
      <x:c r="B38" s="26"/>
      <x:c r="C38" s="27"/>
      <x:c r="D38" s="26"/>
      <x:c r="E38" s="26"/>
    </x:row>
    <x:row r="39" ht="20" customHeight="1">
      <x:c r="A39" s="29"/>
      <x:c r="B39" s="26"/>
      <x:c r="C39" s="27"/>
      <x:c r="D39" s="26"/>
      <x:c r="E39" s="26"/>
    </x:row>
    <x:row r="40" ht="20" customHeight="1">
      <x:c r="A40" s="29"/>
      <x:c r="B40" s="26"/>
      <x:c r="C40" s="27"/>
      <x:c r="D40" s="26"/>
      <x:c r="E40" s="26"/>
    </x:row>
    <x:row r="41" ht="20" customHeight="1">
      <x:c r="A41" s="29"/>
      <x:c r="B41" s="26"/>
      <x:c r="C41" s="27"/>
      <x:c r="D41" s="26"/>
      <x:c r="E41" s="26"/>
    </x:row>
    <x:row r="42" ht="20" customHeight="1">
      <x:c r="A42" s="29"/>
      <x:c r="B42" s="26"/>
      <x:c r="C42" s="27"/>
      <x:c r="D42" s="26"/>
      <x:c r="E42" s="26"/>
    </x:row>
    <x:row r="43" ht="20" customHeight="1">
      <x:c r="A43" s="29"/>
      <x:c r="B43" s="26"/>
      <x:c r="C43" s="27"/>
      <x:c r="D43" s="26"/>
      <x:c r="E43" s="26"/>
    </x:row>
    <x:row r="44" ht="20" customHeight="1">
      <x:c r="A44" s="29"/>
      <x:c r="B44" s="26"/>
      <x:c r="C44" s="27"/>
      <x:c r="D44" s="26"/>
      <x:c r="E44" s="26"/>
    </x:row>
    <x:row r="45" ht="20" customHeight="1">
      <x:c r="A45" s="29"/>
      <x:c r="B45" s="26"/>
      <x:c r="C45" s="27"/>
      <x:c r="D45" s="26"/>
      <x:c r="E45" s="26"/>
    </x:row>
    <x:row r="46" ht="20" customHeight="1">
      <x:c r="A46" s="29"/>
      <x:c r="B46" s="26"/>
      <x:c r="C46" s="27"/>
      <x:c r="D46" s="26"/>
      <x:c r="E46" s="26"/>
    </x:row>
    <x:row r="47" ht="20" customHeight="1">
      <x:c r="A47" s="29"/>
      <x:c r="B47" s="26"/>
      <x:c r="C47" s="27"/>
      <x:c r="D47" s="26"/>
      <x:c r="E47" s="26"/>
    </x:row>
    <x:row r="48" ht="20" customHeight="1">
      <x:c r="A48" s="29"/>
      <x:c r="B48" s="26"/>
      <x:c r="C48" s="27"/>
      <x:c r="D48" s="26"/>
      <x:c r="E48" s="26"/>
    </x:row>
    <x:row r="49" ht="20" customHeight="1">
      <x:c r="A49" s="29"/>
      <x:c r="B49" s="26"/>
      <x:c r="C49" s="27"/>
      <x:c r="D49" s="26"/>
      <x:c r="E49" s="26"/>
    </x:row>
    <x:row r="50" ht="20" customHeight="1">
      <x:c r="A50" s="29"/>
      <x:c r="B50" s="26"/>
      <x:c r="C50" s="27"/>
      <x:c r="D50" s="26"/>
      <x:c r="E50" s="26"/>
    </x:row>
    <x:row r="51" ht="20" customHeight="1">
      <x:c r="A51" s="29"/>
      <x:c r="B51" s="26"/>
      <x:c r="C51" s="27"/>
      <x:c r="D51" s="26"/>
      <x:c r="E51" s="26"/>
    </x:row>
    <x:row r="52" ht="20" customHeight="1">
      <x:c r="A52" s="29"/>
      <x:c r="B52" s="26"/>
      <x:c r="C52" s="27"/>
      <x:c r="D52" s="26"/>
      <x:c r="E52" s="26"/>
    </x:row>
    <x:row r="53" ht="20" customHeight="1">
      <x:c r="A53" s="29"/>
      <x:c r="B53" s="26"/>
      <x:c r="C53" s="27"/>
      <x:c r="D53" s="26"/>
      <x:c r="E53" s="26"/>
    </x:row>
    <x:row r="54" ht="20" customHeight="1">
      <x:c r="A54" s="29"/>
      <x:c r="B54" s="26"/>
      <x:c r="C54" s="27"/>
      <x:c r="D54" s="26"/>
      <x:c r="E54" s="26"/>
    </x:row>
    <x:row r="55" ht="20" customHeight="1">
      <x:c r="A55" s="29"/>
      <x:c r="B55" s="26"/>
      <x:c r="C55" s="27"/>
      <x:c r="D55" s="26"/>
      <x:c r="E55" s="26"/>
    </x:row>
    <x:row r="56" ht="20" customHeight="1">
      <x:c r="A56" s="29"/>
      <x:c r="B56" s="26"/>
      <x:c r="C56" s="27"/>
      <x:c r="D56" s="26"/>
      <x:c r="E56" s="26"/>
    </x:row>
    <x:row r="57" ht="20" customHeight="1">
      <x:c r="A57" s="29"/>
      <x:c r="B57" s="26"/>
      <x:c r="C57" s="27"/>
      <x:c r="D57" s="26"/>
      <x:c r="E57" s="26"/>
    </x:row>
    <x:row r="58" ht="20" customHeight="1">
      <x:c r="A58" s="29"/>
      <x:c r="B58" s="26"/>
      <x:c r="C58" s="27"/>
      <x:c r="D58" s="26"/>
      <x:c r="E58" s="26"/>
    </x:row>
    <x:row r="59" ht="20" customHeight="1">
      <x:c r="A59" s="29"/>
      <x:c r="B59" s="26"/>
      <x:c r="C59" s="27"/>
      <x:c r="D59" s="26"/>
      <x:c r="E59" s="26"/>
    </x:row>
    <x:row r="60" ht="20" customHeight="1">
      <x:c r="A60" s="29"/>
      <x:c r="B60" s="26"/>
      <x:c r="C60" s="27"/>
      <x:c r="D60" s="26"/>
      <x:c r="E60" s="26"/>
    </x:row>
    <x:row r="61" ht="20" customHeight="1">
      <x:c r="A61" s="29"/>
      <x:c r="B61" s="26"/>
      <x:c r="C61" s="27"/>
      <x:c r="D61" s="26"/>
      <x:c r="E61" s="26"/>
    </x:row>
    <x:row r="62" ht="20" customHeight="1">
      <x:c r="A62" s="29"/>
      <x:c r="B62" s="26"/>
      <x:c r="C62" s="27"/>
      <x:c r="D62" s="26"/>
      <x:c r="E62" s="26"/>
    </x:row>
    <x:row r="63" ht="20" customHeight="1">
      <x:c r="A63" s="29"/>
      <x:c r="B63" s="26"/>
      <x:c r="C63" s="27"/>
      <x:c r="D63" s="26"/>
      <x:c r="E63" s="26"/>
    </x:row>
    <x:row r="64" ht="20" customHeight="1">
      <x:c r="A64" s="29"/>
      <x:c r="B64" s="26"/>
      <x:c r="C64" s="27"/>
      <x:c r="D64" s="26"/>
      <x:c r="E64" s="26"/>
    </x:row>
    <x:row r="65" ht="20" customHeight="1">
      <x:c r="A65" s="29"/>
      <x:c r="B65" s="26"/>
      <x:c r="C65" s="27"/>
      <x:c r="D65" s="26"/>
      <x:c r="E65" s="26"/>
    </x:row>
    <x:row r="66" ht="20" customHeight="1">
      <x:c r="A66" s="29"/>
      <x:c r="B66" s="26"/>
      <x:c r="C66" s="27"/>
      <x:c r="D66" s="26"/>
      <x:c r="E66" s="26"/>
    </x:row>
    <x:row r="67" ht="20" customHeight="1">
      <x:c r="A67" s="29"/>
      <x:c r="B67" s="26"/>
      <x:c r="C67" s="27"/>
      <x:c r="D67" s="26"/>
      <x:c r="E67" s="26"/>
    </x:row>
    <x:row r="68" ht="20" customHeight="1">
      <x:c r="A68" s="29"/>
      <x:c r="B68" s="26"/>
      <x:c r="C68" s="27"/>
      <x:c r="D68" s="26"/>
      <x:c r="E68" s="26"/>
    </x:row>
    <x:row r="69" ht="20" customHeight="1">
      <x:c r="A69" s="29"/>
      <x:c r="B69" s="26"/>
      <x:c r="C69" s="27"/>
      <x:c r="D69" s="26"/>
      <x:c r="E69" s="26"/>
    </x:row>
    <x:row r="70" ht="20" customHeight="1">
      <x:c r="A70" s="29"/>
      <x:c r="B70" s="26"/>
      <x:c r="C70" s="27"/>
      <x:c r="D70" s="26"/>
      <x:c r="E70" s="26"/>
    </x:row>
    <x:row r="71" ht="20" customHeight="1">
      <x:c r="A71" s="29"/>
      <x:c r="B71" s="26"/>
      <x:c r="C71" s="27"/>
      <x:c r="D71" s="26"/>
      <x:c r="E71" s="26"/>
    </x:row>
    <x:row r="72" ht="20" customHeight="1">
      <x:c r="A72" s="29"/>
      <x:c r="B72" s="26"/>
      <x:c r="C72" s="27"/>
      <x:c r="D72" s="26"/>
      <x:c r="E72" s="26"/>
    </x:row>
    <x:row r="73" ht="20" customHeight="1">
      <x:c r="A73" s="29"/>
      <x:c r="B73" s="26"/>
      <x:c r="C73" s="27"/>
      <x:c r="D73" s="26"/>
      <x:c r="E73" s="26"/>
    </x:row>
    <x:row r="74" ht="20" customHeight="1">
      <x:c r="A74" s="29"/>
      <x:c r="B74" s="26"/>
      <x:c r="C74" s="27"/>
      <x:c r="D74" s="26"/>
      <x:c r="E74" s="26"/>
    </x:row>
    <x:row r="75" ht="20" customHeight="1">
      <x:c r="A75" s="29"/>
      <x:c r="B75" s="26"/>
      <x:c r="C75" s="27"/>
      <x:c r="D75" s="26"/>
      <x:c r="E75" s="26"/>
    </x:row>
    <x:row r="76" ht="20" customHeight="1">
      <x:c r="A76" s="29"/>
      <x:c r="B76" s="26"/>
      <x:c r="C76" s="27"/>
      <x:c r="D76" s="26"/>
      <x:c r="E76" s="26"/>
    </x:row>
    <x:row r="77" ht="20" customHeight="1">
      <x:c r="A77" s="29"/>
      <x:c r="B77" s="26"/>
      <x:c r="C77" s="27"/>
      <x:c r="D77" s="26"/>
      <x:c r="E77" s="26"/>
    </x:row>
    <x:row r="78" ht="20" customHeight="1">
      <x:c r="A78" s="29"/>
      <x:c r="B78" s="26"/>
      <x:c r="C78" s="27"/>
      <x:c r="D78" s="26"/>
      <x:c r="E78" s="26"/>
    </x:row>
    <x:row r="79" ht="20" customHeight="1">
      <x:c r="A79" s="29"/>
      <x:c r="B79" s="26"/>
      <x:c r="C79" s="27"/>
      <x:c r="D79" s="26"/>
      <x:c r="E79" s="26"/>
    </x:row>
    <x:row r="80" ht="20" customHeight="1">
      <x:c r="A80" s="29"/>
      <x:c r="B80" s="26"/>
      <x:c r="C80" s="27"/>
      <x:c r="D80" s="26"/>
      <x:c r="E80" s="26"/>
    </x:row>
    <x:row r="81" ht="20" customHeight="1">
      <x:c r="A81" s="29"/>
      <x:c r="B81" s="26"/>
      <x:c r="C81" s="27"/>
      <x:c r="D81" s="26"/>
      <x:c r="E81" s="26"/>
    </x:row>
    <x:row r="82" ht="20" customHeight="1">
      <x:c r="A82" s="29"/>
      <x:c r="B82" s="26"/>
      <x:c r="C82" s="27"/>
      <x:c r="D82" s="26"/>
      <x:c r="E82" s="26"/>
    </x:row>
    <x:row r="83" ht="20" customHeight="1">
      <x:c r="A83" s="29"/>
      <x:c r="B83" s="26"/>
      <x:c r="C83" s="27"/>
      <x:c r="D83" s="26"/>
      <x:c r="E83" s="26"/>
    </x:row>
    <x:row r="84" ht="20" customHeight="1">
      <x:c r="A84" s="29"/>
      <x:c r="B84" s="26"/>
      <x:c r="C84" s="27"/>
      <x:c r="D84" s="26"/>
      <x:c r="E84" s="26"/>
    </x:row>
    <x:row r="85" ht="20" customHeight="1">
      <x:c r="A85" s="29"/>
      <x:c r="B85" s="26"/>
      <x:c r="C85" s="27"/>
      <x:c r="D85" s="26"/>
      <x:c r="E85" s="26"/>
    </x:row>
    <x:row r="86" ht="20" customHeight="1">
      <x:c r="A86" s="29"/>
      <x:c r="B86" s="26"/>
      <x:c r="C86" s="27"/>
      <x:c r="D86" s="26"/>
      <x:c r="E86" s="26"/>
    </x:row>
    <x:row r="87" ht="20" customHeight="1">
      <x:c r="A87" s="29"/>
      <x:c r="B87" s="26"/>
      <x:c r="C87" s="27"/>
      <x:c r="D87" s="26"/>
      <x:c r="E87" s="26"/>
    </x:row>
    <x:row r="88" ht="20" customHeight="1">
      <x:c r="A88" s="29"/>
      <x:c r="B88" s="26"/>
      <x:c r="C88" s="27"/>
      <x:c r="D88" s="26"/>
      <x:c r="E88" s="26"/>
    </x:row>
    <x:row r="89" ht="20" customHeight="1">
      <x:c r="A89" s="29"/>
      <x:c r="B89" s="26"/>
      <x:c r="C89" s="27"/>
      <x:c r="D89" s="26"/>
      <x:c r="E89" s="26"/>
    </x:row>
    <x:row r="90" ht="20" customHeight="1">
      <x:c r="A90" s="29"/>
      <x:c r="B90" s="26"/>
      <x:c r="C90" s="27"/>
      <x:c r="D90" s="26"/>
      <x:c r="E90" s="26"/>
    </x:row>
    <x:row r="91" ht="20" customHeight="1">
      <x:c r="A91" s="29"/>
      <x:c r="B91" s="26"/>
      <x:c r="C91" s="27"/>
      <x:c r="D91" s="26"/>
      <x:c r="E91" s="26"/>
    </x:row>
    <x:row r="92" ht="20" customHeight="1">
      <x:c r="A92" s="29"/>
      <x:c r="B92" s="26"/>
      <x:c r="C92" s="27"/>
      <x:c r="D92" s="26"/>
      <x:c r="E92" s="26"/>
    </x:row>
    <x:row r="93" ht="20" customHeight="1">
      <x:c r="A93" s="29"/>
      <x:c r="B93" s="26"/>
      <x:c r="C93" s="27"/>
      <x:c r="D93" s="26"/>
      <x:c r="E93" s="26"/>
    </x:row>
    <x:row r="94" ht="20" customHeight="1">
      <x:c r="A94" s="29"/>
      <x:c r="B94" s="26"/>
      <x:c r="C94" s="27"/>
      <x:c r="D94" s="26"/>
      <x:c r="E94" s="26"/>
    </x:row>
    <x:row r="95" ht="20" customHeight="1">
      <x:c r="A95" s="29"/>
      <x:c r="B95" s="26"/>
      <x:c r="C95" s="27"/>
      <x:c r="D95" s="26"/>
      <x:c r="E95" s="26"/>
    </x:row>
    <x:row r="96" ht="20" customHeight="1">
      <x:c r="A96" s="29"/>
      <x:c r="B96" s="26"/>
      <x:c r="C96" s="27"/>
      <x:c r="D96" s="26"/>
      <x:c r="E96" s="26"/>
    </x:row>
    <x:row r="97" ht="20" customHeight="1">
      <x:c r="A97" s="29"/>
      <x:c r="B97" s="26"/>
      <x:c r="C97" s="27"/>
      <x:c r="D97" s="26"/>
      <x:c r="E97" s="26"/>
    </x:row>
    <x:row r="98" ht="20" customHeight="1">
      <x:c r="A98" s="29"/>
      <x:c r="B98" s="26"/>
      <x:c r="C98" s="27"/>
      <x:c r="D98" s="26"/>
      <x:c r="E98" s="26"/>
    </x:row>
    <x:row r="99" ht="20" customHeight="1">
      <x:c r="A99" s="29"/>
      <x:c r="B99" s="26"/>
      <x:c r="C99" s="27"/>
      <x:c r="D99" s="26"/>
      <x:c r="E99" s="26"/>
    </x:row>
    <x:row r="100" ht="20" customHeight="1">
      <x:c r="A100" s="29"/>
      <x:c r="B100" s="26"/>
      <x:c r="C100" s="27"/>
      <x:c r="D100" s="26"/>
      <x:c r="E100" s="26"/>
    </x:row>
    <x:row r="101" ht="20" customHeight="1">
      <x:c r="A101" s="29"/>
      <x:c r="B101" s="26"/>
      <x:c r="C101" s="27"/>
      <x:c r="D101" s="26"/>
      <x:c r="E101" s="26"/>
    </x:row>
    <x:row r="102" ht="20" customHeight="1">
      <x:c r="A102" s="29"/>
      <x:c r="B102" s="26"/>
      <x:c r="C102" s="27"/>
      <x:c r="D102" s="26"/>
      <x:c r="E102" s="26"/>
    </x:row>
    <x:row r="103" ht="20" customHeight="1">
      <x:c r="A103" s="29"/>
      <x:c r="B103" s="26"/>
      <x:c r="C103" s="27"/>
      <x:c r="D103" s="26"/>
      <x:c r="E103" s="26"/>
    </x:row>
  </x:sheetData>
  <x:mergeCells>
    <x:mergeCell ref="A1:E1"/>
  </x:mergeCells>
  <x:dataValidations count="1">
    <x:dataValidation type="list" sqref="D4:D103">
      <x:formula1>"Bank transfer,ACH,Check,Card,Cash,Other"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3" hidden="0" customWidth="1"/>
    <x:col min="3" max="3" width="78" hidden="0" customWidth="1"/>
  </x:cols>
  <x:sheetData>
    <x:row r="1" ht="35" customHeight="1">
      <x:c r="A1" s="4" t="str">
        <x:v>PROJECT DASHBOARD  |  ONE JOB AT A TIME</x:v>
      </x:c>
      <x:c r="B1" s="4"/>
      <x:c r="C1" s="4"/>
    </x:row>
    <x:row r="3" ht="27" customHeight="1">
      <x:c r="A3" s="10" t="str">
        <x:v>METRIC</x:v>
      </x:c>
      <x:c r="B3" s="10" t="str">
        <x:v>VALUE</x:v>
      </x:c>
      <x:c r="C3" s="10" t="str">
        <x:v>WHAT THIS MEANS</x:v>
      </x:c>
    </x:row>
    <x:row r="4">
      <x:c r="A4" t="str">
        <x:v>Base quoted revenue</x:v>
      </x:c>
      <x:c r="B4" s="38" t="n">
        <x:f>SUM('Estimate'!G4:G103)</x:f>
        <x:v>4890.5</x:v>
      </x:c>
      <x:c r="C4" t="str">
        <x:v>Base quoted selling prices, excluding pending changes</x:v>
      </x:c>
    </x:row>
    <x:row r="5">
      <x:c r="A5" t="str">
        <x:v>Approved change revenue</x:v>
      </x:c>
      <x:c r="B5" s="38" t="n">
        <x:f>SUMIF('Change Orders'!C4:C103,"Approved",'Change Orders'!D4:D103)</x:f>
        <x:v>450</x:v>
      </x:c>
      <x:c r="C5" t="str">
        <x:v>Only approved changes count as contract revenue</x:v>
      </x:c>
    </x:row>
    <x:row r="6">
      <x:c r="A6" s="48" t="str">
        <x:v>Contracted revenue</x:v>
      </x:c>
      <x:c r="B6" s="50" t="n">
        <x:f>B4+B5</x:f>
        <x:v>5340.5</x:v>
      </x:c>
      <x:c r="C6" s="14" t="str">
        <x:v>Base revenue plus approved change orders; not cash collected</x:v>
      </x:c>
    </x:row>
    <x:row r="7">
      <x:c r="A7" t="str">
        <x:v>Estimated base direct costs</x:v>
      </x:c>
      <x:c r="B7" s="38" t="n">
        <x:f>SUM('Estimate'!E4:E103)</x:f>
        <x:v>3712</x:v>
      </x:c>
      <x:c r="C7" t="str">
        <x:v>Estimated direct costs from base estimate</x:v>
      </x:c>
    </x:row>
    <x:row r="8">
      <x:c r="A8" t="str">
        <x:v>Estimated approved change costs</x:v>
      </x:c>
      <x:c r="B8" s="38" t="n">
        <x:f>SUMIF('Change Orders'!C4:C103,"Approved",'Change Orders'!E4:E103)</x:f>
        <x:v>225</x:v>
      </x:c>
      <x:c r="C8" t="str">
        <x:v>Estimates only; NOT added to actual costs</x:v>
      </x:c>
    </x:row>
    <x:row r="9">
      <x:c r="A9" t="str">
        <x:v>Budgeted project overhead</x:v>
      </x:c>
      <x:c r="B9" s="38" t="n">
        <x:f>'Project Setup'!B7</x:f>
        <x:v>650</x:v>
      </x:c>
      <x:c r="C9" t="str">
        <x:v>Planned overhead directly attributable to this project</x:v>
      </x:c>
    </x:row>
    <x:row r="10">
      <x:c r="A10" t="str">
        <x:v>Estimated total cost</x:v>
      </x:c>
      <x:c r="B10" s="38" t="n">
        <x:f>SUM(B7:B9)</x:f>
        <x:v>4587</x:v>
      </x:c>
      <x:c r="C10" t="str">
        <x:v>Estimated base direct + approved change + overhead</x:v>
      </x:c>
    </x:row>
    <x:row r="11">
      <x:c r="A11" s="14" t="str">
        <x:v>Budgeted gross profit</x:v>
      </x:c>
      <x:c r="B11" s="50" t="n">
        <x:f>B6-B10</x:f>
        <x:v>753.5</x:v>
      </x:c>
      <x:c r="C11" s="14" t="str">
        <x:v>Estimated profit after budgeted project overhead</x:v>
      </x:c>
    </x:row>
    <x:row r="12">
      <x:c r="A12" s="14" t="str">
        <x:v>Budgeted margin</x:v>
      </x:c>
      <x:c r="B12" s="51" t="n">
        <x:f>IFERROR(B11/B6,0)</x:f>
        <x:v>0.141091658084449</x:v>
      </x:c>
      <x:c r="C12" s="14" t="str">
        <x:v>Budgeted gross profit divided by contracted revenue</x:v>
      </x:c>
    </x:row>
    <x:row r="13">
      <x:c r="A13" t="str">
        <x:v>Logged actual direct cost</x:v>
      </x:c>
      <x:c r="B13" s="38" t="n">
        <x:f>SUM('Actual Costs'!F4:F203)</x:f>
        <x:v>3921</x:v>
      </x:c>
      <x:c r="C13" t="str">
        <x:v>All actual cost entries, including change work where incurred</x:v>
      </x:c>
    </x:row>
    <x:row r="14">
      <x:c r="A14" t="str">
        <x:v>Actual overhead incurred</x:v>
      </x:c>
      <x:c r="B14" s="38" t="n">
        <x:f>'Project Setup'!B8</x:f>
        <x:v>0</x:v>
      </x:c>
      <x:c r="C14" t="str">
        <x:v>Actual attributable overhead not already logged above</x:v>
      </x:c>
    </x:row>
    <x:row r="15">
      <x:c r="A15" s="14" t="str">
        <x:v>Total incurred costs</x:v>
      </x:c>
      <x:c r="B15" s="50" t="n">
        <x:f>B13+B14</x:f>
        <x:v>3921</x:v>
      </x:c>
      <x:c r="C15" s="14" t="str">
        <x:v>Costs incurred to date; incomplete projects omit future costs</x:v>
      </x:c>
    </x:row>
    <x:row r="16">
      <x:c r="A16" s="48" t="str">
        <x:v>Profit if project finished now</x:v>
      </x:c>
      <x:c r="B16" s="50" t="n">
        <x:f>B6-B15</x:f>
        <x:v>1419.5</x:v>
      </x:c>
      <x:c r="C16" s="14" t="str">
        <x:v>Not final profit if job is incomplete or unbilled costs remain</x:v>
      </x:c>
    </x:row>
    <x:row r="17">
      <x:c r="A17" s="14" t="str">
        <x:v>Incurred-cost margin</x:v>
      </x:c>
      <x:c r="B17" s="51" t="n">
        <x:f>IFERROR(B16/B6,0)</x:f>
        <x:v>0.26579908248291356</x:v>
      </x:c>
      <x:c r="C17" s="14" t="str">
        <x:v>Snapshot only, NOT final project margin</x:v>
      </x:c>
    </x:row>
    <x:row r="18">
      <x:c r="A18" s="44" t="str">
        <x:v>Customer payments received</x:v>
      </x:c>
      <x:c r="B18" s="52" t="n">
        <x:f>SUM('Payments'!C4:C103)</x:f>
        <x:v>2500</x:v>
      </x:c>
      <x:c r="C18" s="44" t="str">
        <x:v>Actual money collected from customer</x:v>
      </x:c>
    </x:row>
    <x:row r="19">
      <x:c r="A19" s="44" t="str">
        <x:v>Uncollected contract balance</x:v>
      </x:c>
      <x:c r="B19" s="52" t="n">
        <x:f>B6-B18</x:f>
        <x:v>2840.5</x:v>
      </x:c>
      <x:c r="C19" s="44" t="str">
        <x:v>Contracted revenue minus cash collected; not necessarily invoiced</x:v>
      </x:c>
    </x:row>
    <x:row r="20">
      <x:c r="A20" s="44" t="str">
        <x:v>Cash receipts less incurred costs</x:v>
      </x:c>
      <x:c r="B20" s="52" t="n">
        <x:f>B18-B15</x:f>
        <x:v>-1421</x:v>
      </x:c>
      <x:c r="C20" s="44" t="str">
        <x:v>Simple cash position; excludes financing, taxes and timing adjustments</x:v>
      </x:c>
    </x:row>
    <x:row r="21">
      <x:c r="A21" s="44" t="str">
        <x:v>Cost still available vs budget</x:v>
      </x:c>
      <x:c r="B21" s="52" t="n">
        <x:f>B10-B15</x:f>
        <x:v>666</x:v>
      </x:c>
      <x:c r="C21" s="44" t="str">
        <x:v>Negative means incurred costs exceed total estimated budget</x:v>
      </x:c>
    </x:row>
    <x:row r="22">
      <x:c r="A22" t="str">
        <x:v>Contingency allowance</x:v>
      </x:c>
      <x:c r="B22" s="38" t="n">
        <x:f>B10*'Project Setup'!B9</x:f>
        <x:v>229.35000000000002</x:v>
      </x:c>
      <x:c r="C22" t="str">
        <x:v>Optional planning reserve, NOT automatically added to contracted revenue</x:v>
      </x:c>
    </x:row>
    <x:row r="23">
      <x:c r="A23" t="str">
        <x:v>Margin target</x:v>
      </x:c>
      <x:c r="B23" s="38" t="n">
        <x:f>'Project Setup'!B13</x:f>
        <x:v>0.2</x:v>
      </x:c>
      <x:c r="C23" t="str">
        <x:v>Desired project margin; assess again when the job is complete</x:v>
      </x:c>
    </x:row>
    <x:row r="24">
      <x:c r="B24" s="53"/>
    </x:row>
    <x:row r="26">
      <x:c r="A26" s="58" t="str">
        <x:v>IMPORTANT</x:v>
      </x:c>
      <x:c r="B26" s="58" t="str">
        <x:v>Revenue is contracted, not necessarily invoiced or collected.</x:v>
      </x:c>
      <x:c r="C26" s="58" t="str"/>
    </x:row>
    <x:row r="27">
      <x:c r="A27" s="58" t="str">
        <x:v>COST POLICY</x:v>
      </x:c>
      <x:c r="B27" s="58" t="str">
        <x:v>Change-order actual costs belong in Actual Costs exactly once.</x:v>
      </x:c>
      <x:c r="C27" s="58" t="str"/>
    </x:row>
    <x:row r="28">
      <x:c r="A28" s="58" t="str">
        <x:v>STATUS</x:v>
      </x:c>
      <x:c r="B28" s="58" t="str">
        <x:v>Demo project is unfinished. Incurred-cost margin is not final profit.</x:v>
      </x:c>
      <x:c r="C28" s="58" t="str"/>
    </x:row>
  </x:sheetData>
  <x:mergeCells>
    <x:mergeCell ref="A1:C1"/>
  </x:mergeCells>
  <x:conditionalFormatting sqref="B16:B16">
    <x:cfRule type="cellIs" dxfId="0" priority="1" operator="lessThan">
      <x:formula>0</x:formula>
    </x:cfRule>
  </x:conditionalFormatting>
  <x:conditionalFormatting sqref="B21:B21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62" t="str">
        <x:v>CONTRACTOR TOOLKIT — RELEASE NOTES</x:v>
      </x:c>
      <x:c r="B1" s="62" t="str"/>
    </x:row>
    <x:row r="2">
      <x:c r="A2" t="str">
        <x:v>Version</x:v>
      </x:c>
      <x:c r="B2" t="str">
        <x:v>1.1 review edition</x:v>
      </x:c>
    </x:row>
    <x:row r="3">
      <x:c r="A3" t="str">
        <x:v>Scope</x:v>
      </x:c>
      <x:c r="B3" t="str">
        <x:v>Single project per workbook; USD; Excel formulas</x:v>
      </x:c>
    </x:row>
    <x:row r="4">
      <x:c r="A4" t="str">
        <x:v>Demo data</x:v>
      </x:c>
      <x:c r="B4" t="str">
        <x:v>All example customers and transactions are fictional</x:v>
      </x:c>
    </x:row>
    <x:row r="5">
      <x:c r="A5" t="str">
        <x:v>Profit warning</x:v>
      </x:c>
      <x:c r="B5" t="str">
        <x:v>Projected margin is not realized profit; verify all costs and revenue</x:v>
      </x:c>
    </x:row>
    <x:row r="6">
      <x:c r="A6" t="str">
        <x:v>Tax warning</x:v>
      </x:c>
      <x:c r="B6" t="str">
        <x:v>No sales tax, income tax, payroll tax or jurisdiction-specific compliance calculated</x:v>
      </x:c>
    </x:row>
    <x:row r="7">
      <x:c r="A7" t="str">
        <x:v>License</x:v>
      </x:c>
      <x:c r="B7" t="str">
        <x:v>Commercial license terms to be reviewed before sale</x:v>
      </x:c>
    </x:row>
  </x:sheetData>
  <x:pageMargins left="0.7" right="0.7" top="0.75" bottom="0.75" header="0.3" footer="0.3"/>
</x:worksheet>
</file>