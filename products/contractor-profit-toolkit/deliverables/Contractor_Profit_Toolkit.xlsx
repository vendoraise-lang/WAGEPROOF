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RT HERE" sheetId="1" state="visible" r:id="rId1"/>
    <sheet xmlns:r="http://schemas.openxmlformats.org/officeDocument/2006/relationships" name="Project Setup" sheetId="2" state="visible" r:id="rId2"/>
    <sheet xmlns:r="http://schemas.openxmlformats.org/officeDocument/2006/relationships" name="Estimate" sheetId="3" state="visible" r:id="rId3"/>
    <sheet xmlns:r="http://schemas.openxmlformats.org/officeDocument/2006/relationships" name="Actual Costs" sheetId="4" state="visible" r:id="rId4"/>
    <sheet xmlns:r="http://schemas.openxmlformats.org/officeDocument/2006/relationships" name="Change Orders" sheetId="5" state="visible" r:id="rId5"/>
    <sheet xmlns:r="http://schemas.openxmlformats.org/officeDocument/2006/relationships" name="Payments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RELEASE NOTES" sheetId="8" state="visible" r:id="rId8"/>
  </sheets>
  <definedNames>
    <definedName name="_xlnm.Print_Titles" localSheetId="0">'START HERE'!$1:$3</definedName>
    <definedName name="_xlnm.Print_Area" localSheetId="0">'START HERE'!$A$1:$C$13</definedName>
    <definedName name="_xlnm.Print_Titles" localSheetId="1">'Project Setup'!$1:$3</definedName>
    <definedName name="_xlnm.Print_Area" localSheetId="1">'Project Setup'!$A$1:$C$13</definedName>
    <definedName name="_xlnm._FilterDatabase" localSheetId="2" hidden="1">'Estimate'!$A$3:$H$103</definedName>
    <definedName name="_xlnm.Print_Titles" localSheetId="2">'Estimate'!$1:$3</definedName>
    <definedName name="_xlnm.Print_Area" localSheetId="2">'Estimate'!$A$1:$H$103</definedName>
    <definedName name="_xlnm._FilterDatabase" localSheetId="3" hidden="1">'Actual Costs'!$A$3:$H$203</definedName>
    <definedName name="_xlnm.Print_Titles" localSheetId="3">'Actual Costs'!$1:$3</definedName>
    <definedName name="_xlnm.Print_Area" localSheetId="3">'Actual Costs'!$A$1:$H$203</definedName>
    <definedName name="_xlnm._FilterDatabase" localSheetId="4" hidden="1">'Change Orders'!$A$3:$G$103</definedName>
    <definedName name="_xlnm.Print_Titles" localSheetId="4">'Change Orders'!$1:$3</definedName>
    <definedName name="_xlnm.Print_Area" localSheetId="4">'Change Orders'!$A$1:$G$103</definedName>
    <definedName name="_xlnm._FilterDatabase" localSheetId="5" hidden="1">'Payments'!$A$3:$E$103</definedName>
    <definedName name="_xlnm.Print_Titles" localSheetId="5">'Payments'!$1:$3</definedName>
    <definedName name="_xlnm.Print_Area" localSheetId="5">'Payments'!$A$1:$E$103</definedName>
    <definedName name="_xlnm.Print_Titles" localSheetId="6">'Dashboard'!$1:$3</definedName>
    <definedName name="_xlnm.Print_Area" localSheetId="6">'Dashboard'!$A$1:$C$28</definedName>
    <definedName name="_xlnm.Print_Titles" localSheetId="7">'RELEASE NOTES'!$1:$3</definedName>
    <definedName name="_xlnm.Print_Area" localSheetId="7">'RELEASE NOTES'!$A$1:$B$7</definedName>
  </definedNames>
  <calcPr calcId="0" fullCalcOnLoad="1"/>
</workbook>
</file>

<file path=xl/styles.xml><?xml version="1.0" encoding="utf-8"?>
<styleSheet xmlns="http://schemas.openxmlformats.org/spreadsheetml/2006/main">
  <numFmts count="6">
    <numFmt numFmtId="164" formatCode="$#,##0.00;[Red]($#,##0.00);–"/>
    <numFmt numFmtId="165" formatCode="0.0%;[Red](0.0%);–"/>
    <numFmt numFmtId="166" formatCode="yyyy-mm-dd"/>
    <numFmt numFmtId="167" formatCode="&quot;$&quot;#,##0.00;[Red](&quot;$&quot;#,##0.00);&quot;$&quot;0.00"/>
    <numFmt numFmtId="168" formatCode="0.0%"/>
    <numFmt numFmtId="169" formatCode="mmm d, yyyy"/>
  </numFmts>
  <fonts count="13">
    <font>
      <name val="Carlito"/>
      <sz val="11"/>
    </font>
    <font>
      <name val="Carlito"/>
      <b val="1"/>
      <color rgb="FFFFFFFF"/>
      <sz val="15"/>
    </font>
    <font>
      <name val="Carlito"/>
      <b val="1"/>
      <color rgb="FFFFFFFF"/>
      <sz val="11"/>
    </font>
    <font>
      <name val="Carlito"/>
      <b val="1"/>
      <color rgb="FF087F8C"/>
      <sz val="11"/>
    </font>
    <font>
      <name val="Carlito"/>
      <color rgb="FF1656B8"/>
      <sz val="11"/>
    </font>
    <font>
      <name val="Carlito"/>
      <color rgb="FF087443"/>
      <sz val="11"/>
    </font>
    <font>
      <name val="Carlito"/>
      <b val="1"/>
      <sz val="11"/>
    </font>
    <font>
      <name val="Carlito"/>
      <color rgb="FFFFFFFF"/>
      <sz val="11"/>
    </font>
    <font>
      <name val="Calibri"/>
      <color rgb="00243746"/>
      <sz val="11"/>
    </font>
    <font>
      <name val="Calibri"/>
      <b val="1"/>
      <color rgb="00FFFFFF"/>
      <sz val="16"/>
    </font>
    <font>
      <name val="Calibri"/>
      <b val="1"/>
      <color rgb="0016324F"/>
      <sz val="10"/>
    </font>
    <font>
      <name val="Calibri"/>
      <color rgb="001457A0"/>
      <sz val="11"/>
    </font>
    <font>
      <name val="Calibri"/>
      <b val="1"/>
      <color rgb="0016324F"/>
      <sz val="11"/>
    </font>
  </fonts>
  <fills count="12">
    <fill>
      <patternFill/>
    </fill>
    <fill>
      <patternFill patternType="gray125"/>
    </fill>
    <fill>
      <patternFill patternType="solid">
        <fgColor rgb="FF14233B"/>
      </patternFill>
    </fill>
    <fill>
      <patternFill patternType="solid">
        <fgColor rgb="FF087F8C"/>
      </patternFill>
    </fill>
    <fill>
      <patternFill patternType="solid">
        <fgColor rgb="FFEAF4F5"/>
      </patternFill>
    </fill>
    <fill>
      <patternFill patternType="solid">
        <fgColor rgb="FFFFF0BD"/>
      </patternFill>
    </fill>
    <fill>
      <patternFill patternType="solid">
        <fgColor rgb="FFF3F6FB"/>
      </patternFill>
    </fill>
    <fill>
      <patternFill patternType="solid">
        <fgColor rgb="FF15324F"/>
      </patternFill>
    </fill>
    <fill>
      <patternFill patternType="solid">
        <fgColor rgb="0016324F"/>
      </patternFill>
    </fill>
    <fill>
      <patternFill patternType="solid">
        <fgColor rgb="00F4F7F9"/>
      </patternFill>
    </fill>
    <fill>
      <patternFill patternType="solid">
        <fgColor rgb="00DCE7ED"/>
      </patternFill>
    </fill>
    <fill>
      <patternFill patternType="solid">
        <fgColor rgb="00E8F2FF"/>
      </patternFill>
    </fill>
  </fills>
  <borders count="2">
    <border/>
    <border/>
  </borders>
  <cellStyleXfs count="1">
    <xf numFmtId="0" fontId="0" fillId="0" borderId="1"/>
  </cellStyleXfs>
  <cellXfs count="8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6" fontId="0" fillId="0" borderId="0" pivotButton="0" quotePrefix="0" xfId="0"/>
    <xf numFmtId="166" fontId="0" fillId="0" borderId="1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164" fontId="4" fillId="5" borderId="0" pivotButton="0" quotePrefix="0" xfId="0"/>
    <xf numFmtId="165" fontId="4" fillId="5" borderId="0" pivotButton="0" quotePrefix="0" xfId="0"/>
    <xf numFmtId="164" fontId="4" fillId="5" borderId="1" pivotButton="0" quotePrefix="0" xfId="0"/>
    <xf numFmtId="165" fontId="4" fillId="5" borderId="1" pivotButton="0" quotePrefix="0" xfId="0"/>
    <xf numFmtId="164" fontId="5" fillId="0" borderId="0" pivotButton="0" quotePrefix="0" xfId="0"/>
    <xf numFmtId="164" fontId="5" fillId="0" borderId="1" pivotButton="0" quotePrefix="0" xfId="0"/>
    <xf numFmtId="164" fontId="0" fillId="4" borderId="0" pivotButton="0" quotePrefix="0" xfId="0"/>
    <xf numFmtId="164" fontId="0" fillId="4" borderId="1" pivotButton="0" quotePrefix="0" xfId="0"/>
    <xf numFmtId="165" fontId="0" fillId="4" borderId="0" pivotButton="0" quotePrefix="0" xfId="0"/>
    <xf numFmtId="165" fontId="0" fillId="4" borderId="1" pivotButton="0" quotePrefix="0" xfId="0"/>
    <xf numFmtId="0" fontId="0" fillId="6" borderId="0" pivotButton="0" quotePrefix="0" xfId="0"/>
    <xf numFmtId="164" fontId="0" fillId="6" borderId="0" pivotButton="0" quotePrefix="0" xfId="0"/>
    <xf numFmtId="0" fontId="0" fillId="6" borderId="1" pivotButton="0" quotePrefix="0" xfId="0"/>
    <xf numFmtId="164" fontId="0" fillId="6" borderId="1" pivotButton="0" quotePrefix="0" xfId="0"/>
    <xf numFmtId="0" fontId="6" fillId="4" borderId="0" pivotButton="0" quotePrefix="0" xfId="0"/>
    <xf numFmtId="0" fontId="6" fillId="4" borderId="1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6" borderId="0" pivotButton="0" quotePrefix="0" xfId="0"/>
    <xf numFmtId="165" fontId="5" fillId="0" borderId="0" pivotButton="0" quotePrefix="0" xfId="0"/>
    <xf numFmtId="164" fontId="5" fillId="4" borderId="1" pivotButton="0" quotePrefix="0" xfId="0"/>
    <xf numFmtId="165" fontId="5" fillId="4" borderId="1" pivotButton="0" quotePrefix="0" xfId="0"/>
    <xf numFmtId="164" fontId="5" fillId="6" borderId="1" pivotButton="0" quotePrefix="0" xfId="0"/>
    <xf numFmtId="165" fontId="5" fillId="0" borderId="1" pivotButton="0" quotePrefix="0" xfId="0"/>
    <xf numFmtId="0" fontId="0" fillId="5" borderId="0" pivotButton="0" quotePrefix="0" xfId="0"/>
    <xf numFmtId="0" fontId="0" fillId="0" borderId="0" pivotButton="0" quotePrefix="0" xfId="0"/>
    <xf numFmtId="0" fontId="0" fillId="7" borderId="0" pivotButton="0" quotePrefix="0" xfId="0"/>
    <xf numFmtId="0" fontId="7" fillId="7" borderId="0" pivotButton="0" quotePrefix="0" xfId="0"/>
    <xf numFmtId="0" fontId="2" fillId="7" borderId="0" pivotButton="0" quotePrefix="0" xfId="0"/>
    <xf numFmtId="0" fontId="9" fillId="8" borderId="1" applyAlignment="1" pivotButton="0" quotePrefix="0" xfId="0">
      <alignment vertical="center" wrapText="1"/>
    </xf>
    <xf numFmtId="0" fontId="8" fillId="9" borderId="0" applyAlignment="1" pivotButton="0" quotePrefix="0" xfId="0">
      <alignment vertical="center" wrapText="1"/>
    </xf>
    <xf numFmtId="0" fontId="10" fillId="10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11" fillId="11" borderId="0" applyAlignment="1" applyProtection="1" pivotButton="0" quotePrefix="0" xfId="0">
      <alignment vertical="center" wrapText="1"/>
      <protection locked="0" hidden="0"/>
    </xf>
    <xf numFmtId="167" fontId="11" fillId="11" borderId="0" applyAlignment="1" applyProtection="1" pivotButton="0" quotePrefix="0" xfId="0">
      <alignment vertical="center" wrapText="1"/>
      <protection locked="0" hidden="0"/>
    </xf>
    <xf numFmtId="168" fontId="11" fillId="11" borderId="0" applyAlignment="1" applyProtection="1" pivotButton="0" quotePrefix="0" xfId="0">
      <alignment vertical="center" wrapText="1"/>
      <protection locked="0" hidden="0"/>
    </xf>
    <xf numFmtId="166" fontId="11" fillId="11" borderId="0" applyAlignment="1" applyProtection="1" pivotButton="0" quotePrefix="0" xfId="0">
      <alignment vertical="center" wrapText="1"/>
      <protection locked="0" hidden="0"/>
    </xf>
    <xf numFmtId="167" fontId="12" fillId="9" borderId="0" applyAlignment="1" pivotButton="0" quotePrefix="0" xfId="0">
      <alignment vertical="center" wrapText="1"/>
    </xf>
    <xf numFmtId="167" fontId="12" fillId="0" borderId="0" applyAlignment="1" pivotButton="0" quotePrefix="0" xfId="0">
      <alignment vertical="center" wrapText="1"/>
    </xf>
    <xf numFmtId="169" fontId="11" fillId="11" borderId="0" applyAlignment="1" applyProtection="1" pivotButton="0" quotePrefix="0" xfId="0">
      <alignment vertical="center" wrapText="1"/>
      <protection locked="0" hidden="0"/>
    </xf>
    <xf numFmtId="167" fontId="12" fillId="4" borderId="0" applyAlignment="1" pivotButton="0" quotePrefix="0" xfId="0">
      <alignment vertical="center" wrapText="1"/>
    </xf>
    <xf numFmtId="168" fontId="12" fillId="9" borderId="0" applyAlignment="1" pivotButton="0" quotePrefix="0" xfId="0">
      <alignment vertical="center" wrapText="1"/>
    </xf>
    <xf numFmtId="168" fontId="12" fillId="4" borderId="0" applyAlignment="1" pivotButton="0" quotePrefix="0" xfId="0">
      <alignment vertical="center" wrapText="1"/>
    </xf>
    <xf numFmtId="0" fontId="8" fillId="6" borderId="0" applyAlignment="1" pivotButton="0" quotePrefix="0" xfId="0">
      <alignment vertical="center" wrapText="1"/>
    </xf>
    <xf numFmtId="167" fontId="12" fillId="6" borderId="0" applyAlignment="1" pivotButton="0" quotePrefix="0" xfId="0">
      <alignment vertical="center" wrapText="1"/>
    </xf>
    <xf numFmtId="168" fontId="12" fillId="0" borderId="0" applyAlignment="1" pivotButton="0" quotePrefix="0" xfId="0">
      <alignment vertical="center" wrapText="1"/>
    </xf>
    <xf numFmtId="1" fontId="12" fillId="9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 wrapText="1"/>
    </xf>
    <xf numFmtId="0" fontId="9" fillId="8" borderId="0" applyAlignment="1" pivotButton="0" quotePrefix="0" xfId="0">
      <alignment vertical="center" wrapText="1"/>
    </xf>
  </cellXfs>
  <cellStyles count="1">
    <cellStyle name="Normal" xfId="0"/>
  </cellStyles>
  <dxfs count="4">
    <dxf>
      <font>
        <color rgb="FFB91C1C"/>
      </font>
      <fill>
        <patternFill>
          <bgColor rgb="FFFEE2E2"/>
        </patternFill>
      </fill>
    </dxf>
    <dxf>
      <font>
        <color rgb="FFB91C1C"/>
      </font>
      <fill>
        <patternFill>
          <bgColor rgb="FFFEE2E2"/>
        </patternFill>
      </fill>
    </dxf>
    <dxf>
      <fill>
        <patternFill patternType="solid">
          <fgColor rgb="00FADBD8"/>
        </patternFill>
      </fill>
    </dxf>
    <dxf>
      <fill>
        <patternFill patternType="solid">
          <fgColor rgb="00FFF0C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tabColor rgb="0016324F"/>
    <ns0:outlinePr summaryBelow="1" summaryRight="1"/>
    <ns0:pageSetUpPr fitToPage="1"/>
  </ns0:sheetPr>
  <ns0:dimension ref="A1:C13"/>
  <ns0:sheetViews>
    <ns0:sheetView showGridLines="0" workbookViewId="0">
      <ns0:pane xSplit="1" ySplit="3" topLeftCell="B4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36" customWidth="1" style="59" min="1" max="1"/>
    <ns0:col width="31" customWidth="1" style="59" min="2" max="2"/>
    <ns0:col width="76" customWidth="1" style="59" min="3" max="3"/>
  </ns0:cols>
  <ns0:sheetData>
    <ns0:row r="1" ht="34" customHeight="1" s="59">
      <ns0:c r="A1" s="63" t="inlineStr">
        <ns0:is>
          <ns0:t>CONTRACTOR PROFIT TOOLKIT | 1.2</ns0:t>
        </ns0:is>
      </ns0:c>
      <ns0:c r="B1" s="1" t="n"/>
      <ns0:c r="C1" s="1" t="n"/>
    </ns0:row>
    <ns0:row r="2">
      <ns0:c r="A2" s="64" t="n"/>
      <ns0:c r="B2" s="64" t="n"/>
      <ns0:c r="C2" s="64" t="n"/>
    </ns0:row>
    <ns0:row r="3" ht="32" customHeight="1" s="59">
      <ns0:c r="A3" s="65" t="inlineStr">
        <ns0:is>
          <ns0:t>STEP</ns0:t>
        </ns0:is>
      </ns0:c>
      <ns0:c r="B3" s="65" t="inlineStr">
        <ns0:is>
          <ns0:t>WHAT TO DO</ns0:t>
        </ns0:is>
      </ns0:c>
      <ns0:c r="C3" s="65" t="inlineStr">
        <ns0:is>
          <ns0:t>IMPORTANT DETAIL</ns0:t>
        </ns0:is>
      </ns0:c>
    </ns0:row>
    <ns0:row r="4" ht="60" customHeight="1" s="59">
      <ns0:c r="A4" s="64" t="inlineStr">
        <ns0:is>
          <ns0:t>01</ns0:t>
        </ns0:is>
      </ns0:c>
      <ns0:c r="B4" s="64" t="inlineStr">
        <ns0:is>
          <ns0:t>Enter project name, overhead budget and contingency on Project Setup.</ns0:t>
        </ns0:is>
      </ns0:c>
      <ns0:c r="C4" s="64" t="inlineStr">
        <ns0:is>
          <ns0:t>All demo numbers are fictional and must be replaced.</ns0:t>
        </ns0:is>
      </ns0:c>
    </ns0:row>
    <ns0:row r="5" ht="60" customHeight="1" s="59">
      <ns0:c r="A5" s="66" t="inlineStr">
        <ns0:is>
          <ns0:t>02</ns0:t>
        </ns0:is>
      </ns0:c>
      <ns0:c r="B5" s="67" t="inlineStr">
        <ns0:is>
          <ns0:t>Build your base quote in Estimate with quantities, costs and markups.</ns0:t>
        </ns0:is>
      </ns0:c>
      <ns0:c r="C5" s="67" t="inlineStr">
        <ns0:is>
          <ns0:t>Markup is a percentage of COST, not sales margin.</ns0:t>
        </ns0:is>
      </ns0:c>
    </ns0:row>
    <ns0:row r="6" ht="60" customHeight="1" s="59">
      <ns0:c r="A6" s="64" t="inlineStr">
        <ns0:is>
          <ns0:t>03</ns0:t>
        </ns0:is>
      </ns0:c>
      <ns0:c r="B6" s="64" t="inlineStr">
        <ns0:is>
          <ns0:t>Log every real expense ONCE in Actual Costs.</ns0:t>
        </ns0:is>
      </ns0:c>
      <ns0:c r="C6" s="64" t="inlineStr">
        <ns0:is>
          <ns0:t>Include approved change-order expenses here; do not separately add change-order estimated costs to actuals.</ns0:t>
        </ns0:is>
      </ns0:c>
    </ns0:row>
    <ns0:row r="7" ht="60" customHeight="1" s="59">
      <ns0:c r="A7" s="66" t="inlineStr">
        <ns0:is>
          <ns0:t>04</ns0:t>
        </ns0:is>
      </ns0:c>
      <ns0:c r="B7" s="67" t="inlineStr">
        <ns0:is>
          <ns0:t>Track changes in Change Orders and mark their actual status.</ns0:t>
        </ns0:is>
      </ns0:c>
      <ns0:c r="C7" s="67" t="inlineStr">
        <ns0:is>
          <ns0:t>Only Approved changes increase contracted revenue.</ns0:t>
        </ns0:is>
      </ns0:c>
    </ns0:row>
    <ns0:row r="8" ht="60" customHeight="1" s="59">
      <ns0:c r="A8" s="64" t="inlineStr">
        <ns0:is>
          <ns0:t>05</ns0:t>
        </ns0:is>
      </ns0:c>
      <ns0:c r="B8" s="64" t="inlineStr">
        <ns0:is>
          <ns0:t>Enter customer payments in Payments.</ns0:t>
        </ns0:is>
      </ns0:c>
      <ns0:c r="C8" s="64" t="inlineStr">
        <ns0:is>
          <ns0:t>Revenue contracted is not the same thing as money collected.</ns0:t>
        </ns0:is>
      </ns0:c>
    </ns0:row>
    <ns0:row r="9" ht="60" customHeight="1" s="59">
      <ns0:c r="A9" s="66" t="inlineStr">
        <ns0:is>
          <ns0:t>06</ns0:t>
        </ns0:is>
      </ns0:c>
      <ns0:c r="B9" s="67" t="inlineStr">
        <ns0:is>
          <ns0:t>Review Dashboard warnings and contribution margins.</ns0:t>
        </ns0:is>
      </ns0:c>
      <ns0:c r="C9" s="67" t="inlineStr">
        <ns0:is>
          <ns0:t>Incomplete job costs overstate profit. Receipts less incurred costs is NOT cash flow.</ns0:t>
        </ns0:is>
      </ns0:c>
    </ns0:row>
    <ns0:row r="10" ht="60" customHeight="1" s="59">
      <ns0:c r="A10" s="64" t="inlineStr">
        <ns0:is>
          <ns0:t>07</ns0:t>
        </ns0:is>
      </ns0:c>
      <ns0:c r="B10" s="64" t="inlineStr">
        <ns0:is>
          <ns0:t>Use USD; enter dates as real Excel dates.</ns0:t>
        </ns0:is>
      </ns0:c>
      <ns0:c r="C10" s="64" t="inlineStr">
        <ns0:is>
          <ns0:t>Customer tax excluded. Costs include nonrecoverable purchase taxes. Negative payment = refund.</ns0:t>
        </ns0:is>
      </ns0:c>
    </ns0:row>
    <ns0:row r="11" ht="60" customHeight="1" s="59">
      <ns0:c r="A11" s="66" t="inlineStr">
        <ns0:is>
          <ns0:t>08</ns0:t>
        </ns0:is>
      </ns0:c>
      <ns0:c r="B11" s="67" t="inlineStr">
        <ns0:is>
          <ns0:t>Duplicate this workbook per project.</ns0:t>
        </ns0:is>
      </ns0:c>
      <ns0:c r="C11" s="67" t="inlineStr">
        <ns0:is>
          <ns0:t>Fixed capacity: 100 estimate, 200 costs, 100 changes, 100 payment rows. Do not add rows.</ns0:t>
        </ns0:is>
      </ns0:c>
    </ns0:row>
    <ns0:row r="12" ht="60" customHeight="1" s="59">
      <ns0:c r="A12" s="64" t="inlineStr">
        <ns0:is>
          <ns0:t>09</ns0:t>
        </ns0:is>
      </ns0:c>
      <ns0:c r="B12" s="64" t="inlineStr">
        <ns0:is>
          <ns0:t>Check unusual expense classifications and pending changes.</ns0:t>
        </ns0:is>
      </ns0:c>
      <ns0:c r="C12" s="64" t="inlineStr">
        <ns0:is>
          <ns0:t>Spreadsheet is a management aid, not tax, legal, accounting or certified estimating advice.</ns0:t>
        </ns0:is>
      </ns0:c>
    </ns0:row>
    <ns0:row r="13" ht="60" customHeight="1" s="59">
      <ns0:c r="A13" s="66" t="inlineStr">
        <ns0:is>
          <ns0:t>10</ns0:t>
        </ns0:is>
      </ns0:c>
      <ns0:c r="B13" s="67" t="inlineStr">
        <ns0:is>
          <ns0:t>Store your files securely and back up regularly.</ns0:t>
        </ns0:is>
      </ns0:c>
      <ns0:c r="C13" s="67" t="inlineStr">
        <ns0:is>
          <ns0:t>Edit blue cells. Sheet protection prevents accidents, not unauthorized access. No password needed to unprotect.</ns0:t>
        </ns0:is>
      </ns0:c>
    </ns0:row>
  </ns0:sheetData>
  <ns0:sheetProtection selectLockedCells="0" selectUnlockedCells="0" sheet="1" objects="0" insertRows="1" insertHyperlinks="1" autoFilter="0" scenarios="0" formatColumns="1" deleteColumns="1" insertColumns="1" pivotTables="1" deleteRows="1" formatCells="1" formatRows="1" sort="1"/>
  <ns0:mergeCells count="1">
    <ns0:mergeCell ref="A1:C1"/>
  </ns0:mergeCells>
  <ns0:printOptions horizontalCentered="1"/>
  <ns0:pageMargins left="0.7" right="0.7" top="0.75" bottom="0.75" header="0.3" footer="0.3"/>
  <ns0:pageSetup orientation="landscape" paperSize="1" fitToHeight="0" fitToWidth="1"/>
</ns0:worksheet>
</file>

<file path=xl/worksheets/sheet2.xml><?xml version="1.0" encoding="utf-8"?>
<ns0:worksheet xmlns:ns0="http://schemas.openxmlformats.org/spreadsheetml/2006/main">
  <ns0:sheetPr>
    <ns0:tabColor rgb="0016324F"/>
    <ns0:outlinePr summaryBelow="1" summaryRight="1"/>
    <ns0:pageSetUpPr fitToPage="1"/>
  </ns0:sheetPr>
  <ns0:dimension ref="A1:C13"/>
  <ns0:sheetViews>
    <ns0:sheetView showGridLines="0" workbookViewId="0">
      <ns0:pane xSplit="1" ySplit="3" topLeftCell="B4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36" customWidth="1" style="59" min="1" max="1"/>
    <ns0:col width="31" customWidth="1" style="59" min="2" max="2"/>
    <ns0:col width="76" customWidth="1" style="59" min="3" max="3"/>
  </ns0:cols>
  <ns0:sheetData>
    <ns0:row r="1" ht="34" customHeight="1" s="59">
      <ns0:c r="A1" s="63" t="inlineStr">
        <ns0:is>
          <ns0:t>PROJECT SETUP  |  EDIT BLUE CELLS</ns0:t>
        </ns0:is>
      </ns0:c>
      <ns0:c r="B1" s="1" t="n"/>
      <ns0:c r="C1" s="1" t="n"/>
    </ns0:row>
    <ns0:row r="2">
      <ns0:c r="A2" s="64" t="n"/>
      <ns0:c r="B2" s="64" t="n"/>
      <ns0:c r="C2" s="64" t="n"/>
    </ns0:row>
    <ns0:row r="3" ht="32" customHeight="1" s="59">
      <ns0:c r="A3" s="65" t="inlineStr">
        <ns0:is>
          <ns0:t>FIELD</ns0:t>
        </ns0:is>
      </ns0:c>
      <ns0:c r="B3" s="65" t="inlineStr">
        <ns0:is>
          <ns0:t>VALUE</ns0:t>
        </ns0:is>
      </ns0:c>
      <ns0:c r="C3" s="65" t="inlineStr">
        <ns0:is>
          <ns0:t>NOTES</ns0:t>
        </ns0:is>
      </ns0:c>
    </ns0:row>
    <ns0:row r="4" ht="48" customHeight="1" s="59">
      <ns0:c r="A4" s="64" t="inlineStr">
        <ns0:is>
          <ns0:t>Project name</ns0:t>
        </ns0:is>
      </ns0:c>
      <ns0:c r="B4" s="68" t="n"/>
      <ns0:c r="C4" s="64" t="inlineStr">
        <ns0:is>
          <ns0:t>Replace before production use</ns0:t>
        </ns0:is>
      </ns0:c>
    </ns0:row>
    <ns0:row r="5" ht="48" customHeight="1" s="59">
      <ns0:c r="A5" s="67" t="inlineStr">
        <ns0:is>
          <ns0:t>Client name</ns0:t>
        </ns0:is>
      </ns0:c>
      <ns0:c r="B5" s="68" t="n"/>
      <ns0:c r="C5" s="67" t="inlineStr">
        <ns0:is>
          <ns0:t>Replace with your client</ns0:t>
        </ns0:is>
      </ns0:c>
    </ns0:row>
    <ns0:row r="6" ht="48" customHeight="1" s="59">
      <ns0:c r="A6" s="64" t="inlineStr">
        <ns0:is>
          <ns0:t>Project ID</ns0:t>
        </ns0:is>
      </ns0:c>
      <ns0:c r="B6" s="68" t="n"/>
      <ns0:c r="C6" s="64" t="inlineStr">
        <ns0:is>
          <ns0:t>One project per workbook</ns0:t>
        </ns0:is>
      </ns0:c>
    </ns0:row>
    <ns0:row r="7" ht="48" customHeight="1" s="59">
      <ns0:c r="A7" s="67" t="inlineStr">
        <ns0:is>
          <ns0:t>Estimated direct overhead ($)</ns0:t>
        </ns0:is>
      </ns0:c>
      <ns0:c r="B7" s="69" t="n">
        <ns0:v>0</ns0:v>
      </ns0:c>
      <ns0:c r="C7" s="67" t="inlineStr">
        <ns0:is>
          <ns0:t>Project-attributable supervision, permits, overhead; not included in Estimate direct line items</ns0:t>
        </ns0:is>
      </ns0:c>
    </ns0:row>
    <ns0:row r="8" ht="48" customHeight="1" s="59">
      <ns0:c r="A8" s="64" t="inlineStr">
        <ns0:is>
          <ns0:t>Actual overhead incurred ($)</ns0:t>
        </ns0:is>
      </ns0:c>
      <ns0:c r="B8" s="69" t="n">
        <ns0:v>0</ns0:v>
      </ns0:c>
      <ns0:c r="C8" s="64" t="inlineStr">
        <ns0:is>
          <ns0:t>Enter project-attributable overhead already incurred; exclude amounts also logged under Actual Costs</ns0:t>
        </ns0:is>
      </ns0:c>
    </ns0:row>
    <ns0:row r="9" ht="48" customHeight="1" s="59">
      <ns0:c r="A9" s="67" t="inlineStr">
        <ns0:is>
          <ns0:t>Contingency rate</ns0:t>
        </ns0:is>
      </ns0:c>
      <ns0:c r="B9" s="70" t="n">
        <ns0:v>0</ns0:v>
      </ns0:c>
      <ns0:c r="C9" s="67" t="inlineStr">
        <ns0:is>
          <ns0:t>Contingency is a planning reserve; not income or an actual expense</ns0:t>
        </ns0:is>
      </ns0:c>
    </ns0:row>
    <ns0:row r="10" ht="48" customHeight="1" s="59">
      <ns0:c r="A10" s="64" t="inlineStr">
        <ns0:is>
          <ns0:t>Sales tax allowance ($)</ns0:t>
        </ns0:is>
      </ns0:c>
      <ns0:c r="B10" s="69" t="n">
        <ns0:v>0</ns0:v>
      </ns0:c>
      <ns0:c r="C10" s="64" t="inlineStr">
        <ns0:is>
          <ns0:t>Excluded informational allowance. Enter all other figures consistently net of customer sales tax.</ns0:t>
        </ns0:is>
      </ns0:c>
    </ns0:row>
    <ns0:row r="11" ht="48" customHeight="1" s="59">
      <ns0:c r="A11" s="67" t="inlineStr">
        <ns0:is>
          <ns0:t>Notes</ns0:t>
        </ns0:is>
      </ns0:c>
      <ns0:c r="B11" s="68" t="n"/>
      <ns0:c r="C11" s="67" t="inlineStr">
        <ns0:is>
          <ns0:t>Use local applicable rules and your accountant</ns0:t>
        </ns0:is>
      </ns0:c>
    </ns0:row>
    <ns0:row r="12" ht="48" customHeight="1" s="59">
      <ns0:c r="A12" s="64" t="inlineStr">
        <ns0:is>
          <ns0:t>Reporting date</ns0:t>
        </ns0:is>
      </ns0:c>
      <ns0:c r="B12" s="71" t="n"/>
      <ns0:c r="C12" s="64" t="inlineStr">
        <ns0:is>
          <ns0:t>As-of date used for illustrative tracking</ns0:t>
        </ns0:is>
      </ns0:c>
    </ns0:row>
    <ns0:row r="13" ht="48" customHeight="1" s="59">
      <ns0:c r="A13" s="67" t="inlineStr">
        <ns0:is>
          <ns0:t>Target contribution margin</ns0:t>
        </ns0:is>
      </ns0:c>
      <ns0:c r="B13" s="70" t="n">
        <ns0:v>0.2</ns0:v>
      </ns0:c>
      <ns0:c r="C13" s="67" t="inlineStr">
        <ns0:is>
          <ns0:t>Benchmark after project overhead; excludes unallocated company overhead and tax.</ns0:t>
        </ns0:is>
      </ns0:c>
    </ns0:row>
  </ns0:sheetData>
  <ns0:sheetProtection selectLockedCells="0" selectUnlockedCells="0" sheet="1" objects="0" insertRows="1" insertHyperlinks="1" autoFilter="0" scenarios="0" formatColumns="1" deleteColumns="1" insertColumns="1" pivotTables="1" deleteRows="1" formatCells="1" formatRows="1" sort="1"/>
  <ns0:mergeCells count="1">
    <ns0:mergeCell ref="A1:C1"/>
  </ns0:mergeCells>
  <ns0:dataValidations count="5">
    <ns0:dataValidation sqref="B7:B8" showDropDown="0" showInputMessage="1" showErrorMessage="1" allowBlank="1" errorTitle="Check this entry" error="Use the allowed value. Read the column notes." promptTitle="Input cell" prompt="Enter numbers without currency symbols. Clear unused rows." type="decimal" errorStyle="stop" operator="between">
      <ns0:formula1>0</ns0:formula1>
      <ns0:formula2>1000000000</ns0:formula2>
    </ns0:dataValidation>
    <ns0:dataValidation sqref="B10" showDropDown="0" showInputMessage="1" showErrorMessage="1" allowBlank="1" errorTitle="Check this entry" error="Use the allowed value. Read the column notes." promptTitle="Input cell" prompt="Enter numbers without currency symbols. Clear unused rows." type="decimal" errorStyle="stop" operator="between">
      <ns0:formula1>0</ns0:formula1>
      <ns0:formula2>1000000000</ns0:formula2>
    </ns0:dataValidation>
    <ns0:dataValidation sqref="B9" showDropDown="0" showInputMessage="1" showErrorMessage="1" allowBlank="1" errorTitle="Check this entry" error="Use the allowed value. Read the column notes." promptTitle="Input cell" prompt="Enter numbers without currency symbols. Clear unused rows." type="decimal" errorStyle="stop" operator="between">
      <ns0:formula1>0</ns0:formula1>
      <ns0:formula2>1</ns0:formula2>
    </ns0:dataValidation>
    <ns0:dataValidation sqref="B13" showDropDown="0" showInputMessage="1" showErrorMessage="1" allowBlank="1" errorTitle="Check this entry" error="Use the allowed value. Read the column notes." promptTitle="Input cell" prompt="Enter numbers without currency symbols. Clear unused rows." type="decimal" errorStyle="stop" operator="between">
      <ns0:formula1>0</ns0:formula1>
      <ns0:formula2>0.9999</ns0:formula2>
    </ns0:dataValidation>
    <ns0:dataValidation sqref="B12" showDropDown="0" showInputMessage="1" showErrorMessage="1" allowBlank="1" errorTitle="Check this entry" error="Use the allowed value. Read the column notes." promptTitle="Input cell" prompt="Enter numbers without currency symbols. Clear unused rows." type="date" errorStyle="stop" operator="between">
      <ns0:formula1>DATE(2000,1,1)</ns0:formula1>
      <ns0:formula2>DATE(2100,12,31)</ns0:formula2>
    </ns0:dataValidation>
  </ns0:dataValidations>
  <ns0:printOptions horizontalCentered="1"/>
  <ns0:pageMargins left="0.7" right="0.7" top="0.75" bottom="0.75" header="0.3" footer="0.3"/>
  <ns0:pageSetup orientation="landscape" paperSize="1" fitToHeight="0" fitToWidth="1"/>
</ns0:worksheet>
</file>

<file path=xl/worksheets/sheet3.xml><?xml version="1.0" encoding="utf-8"?>
<ns0:worksheet xmlns:ns0="http://schemas.openxmlformats.org/spreadsheetml/2006/main">
  <ns0:sheetPr>
    <ns0:tabColor rgb="0016324F"/>
    <ns0:outlinePr summaryBelow="1" summaryRight="1"/>
    <ns0:pageSetUpPr fitToPage="1"/>
  </ns0:sheetPr>
  <ns0:dimension ref="A1:H103"/>
  <ns0:sheetViews>
    <ns0:sheetView showGridLines="0" workbookViewId="0">
      <ns0:pane xSplit="2" ySplit="3" topLeftCell="C4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9" customWidth="1" style="59" min="1" max="1"/>
    <ns0:col width="30" customWidth="1" style="59" min="2" max="2"/>
    <ns0:col width="22" customWidth="1" style="59" min="3" max="3"/>
    <ns0:col width="22" customWidth="1" style="59" min="4" max="4"/>
    <ns0:col width="22" customWidth="1" style="59" min="5" max="5"/>
    <ns0:col width="22" customWidth="1" style="59" min="6" max="6"/>
    <ns0:col width="22" customWidth="1" style="59" min="7" max="7"/>
    <ns0:col width="45" customWidth="1" style="59" min="8" max="8"/>
  </ns0:cols>
  <ns0:sheetData>
    <ns0:row r="1" ht="34" customHeight="1" s="59">
      <ns0:c r="A1" s="63" t="inlineStr">
        <ns0:is>
          <ns0:t>BASE ESTIMATE  |  DIRECT LINE-ITEM COSTS</ns0:t>
        </ns0:is>
      </ns0:c>
      <ns0:c r="B1" s="1" t="n"/>
      <ns0:c r="C1" s="1" t="n"/>
      <ns0:c r="D1" s="1" t="n"/>
      <ns0:c r="E1" s="1" t="n"/>
      <ns0:c r="F1" s="1" t="n"/>
      <ns0:c r="G1" s="1" t="n"/>
      <ns0:c r="H1" s="1" t="n"/>
    </ns0:row>
    <ns0:row r="2">
      <ns0:c r="A2" s="64" t="n"/>
      <ns0:c r="B2" s="64" t="n"/>
      <ns0:c r="C2" s="64" t="n"/>
      <ns0:c r="D2" s="64" t="n"/>
      <ns0:c r="E2" s="64" t="n"/>
      <ns0:c r="F2" s="64" t="n"/>
      <ns0:c r="G2" s="64" t="n"/>
      <ns0:c r="H2" s="64" t="n"/>
    </ns0:row>
    <ns0:row r="3" ht="32" customHeight="1" s="59">
      <ns0:c r="A3" s="65" t="inlineStr">
        <ns0:is>
          <ns0:t>LINE ITEM</ns0:t>
        </ns0:is>
      </ns0:c>
      <ns0:c r="B3" s="65" t="inlineStr">
        <ns0:is>
          <ns0:t>CATEGORY</ns0:t>
        </ns0:is>
      </ns0:c>
      <ns0:c r="C3" s="65" t="inlineStr">
        <ns0:is>
          <ns0:t>QUANTITY</ns0:t>
        </ns0:is>
      </ns0:c>
      <ns0:c r="D3" s="65" t="inlineStr">
        <ns0:is>
          <ns0:t>UNIT COST ($)</ns0:t>
        </ns0:is>
      </ns0:c>
      <ns0:c r="E3" s="65" t="inlineStr">
        <ns0:is>
          <ns0:t>DIRECT COST ($)</ns0:t>
        </ns0:is>
      </ns0:c>
      <ns0:c r="F3" s="65" t="inlineStr">
        <ns0:is>
          <ns0:t>MARKUP %</ns0:t>
        </ns0:is>
      </ns0:c>
      <ns0:c r="G3" s="65" t="inlineStr">
        <ns0:is>
          <ns0:t>SELL PRICE ($)</ns0:t>
        </ns0:is>
      </ns0:c>
      <ns0:c r="H3" s="65" t="inlineStr">
        <ns0:is>
          <ns0:t>NOTES</ns0:t>
        </ns0:is>
      </ns0:c>
    </ns0:row>
    <ns0:row r="4" ht="32" customHeight="1" s="59">
      <ns0:c r="A4" s="68" t="n"/>
      <ns0:c r="B4" s="68" t="n"/>
      <ns0:c r="C4" s="68" t="n"/>
      <ns0:c r="D4" s="69" t="n"/>
      <ns0:c r="E4" s="72" t="str">
        <ns0:f>IF(OR(C4="",D4=""),"",ROUND(C4*D4,2))</ns0:f>
        <ns0:v/>
      </ns0:c>
      <ns0:c r="F4" s="70" t="n"/>
      <ns0:c r="G4" s="72" t="str">
        <ns0:f>IF(E4="","",ROUND(E4*(1+IF(F4="",0,F4)),2))</ns0:f>
        <ns0:v/>
      </ns0:c>
      <ns0:c r="H4" s="68" t="n"/>
    </ns0:row>
    <ns0:row r="5" ht="32" customHeight="1" s="59">
      <ns0:c r="A5" s="68" t="n"/>
      <ns0:c r="B5" s="68" t="n"/>
      <ns0:c r="C5" s="68" t="n"/>
      <ns0:c r="D5" s="69" t="n"/>
      <ns0:c r="E5" s="73" t="str">
        <ns0:f>IF(OR(C5="",D5=""),"",ROUND(C5*D5,2))</ns0:f>
        <ns0:v/>
      </ns0:c>
      <ns0:c r="F5" s="70" t="n"/>
      <ns0:c r="G5" s="73" t="str">
        <ns0:f>IF(E5="","",ROUND(E5*(1+IF(F5="",0,F5)),2))</ns0:f>
        <ns0:v/>
      </ns0:c>
      <ns0:c r="H5" s="68" t="n"/>
    </ns0:row>
    <ns0:row r="6" ht="32" customHeight="1" s="59">
      <ns0:c r="A6" s="68" t="n"/>
      <ns0:c r="B6" s="68" t="n"/>
      <ns0:c r="C6" s="68" t="n"/>
      <ns0:c r="D6" s="69" t="n"/>
      <ns0:c r="E6" s="72" t="str">
        <ns0:f>IF(OR(C6="",D6=""),"",ROUND(C6*D6,2))</ns0:f>
        <ns0:v/>
      </ns0:c>
      <ns0:c r="F6" s="70" t="n"/>
      <ns0:c r="G6" s="72" t="str">
        <ns0:f>IF(E6="","",ROUND(E6*(1+IF(F6="",0,F6)),2))</ns0:f>
        <ns0:v/>
      </ns0:c>
      <ns0:c r="H6" s="68" t="n"/>
    </ns0:row>
    <ns0:row r="7" ht="32" customHeight="1" s="59">
      <ns0:c r="A7" s="68" t="n"/>
      <ns0:c r="B7" s="68" t="n"/>
      <ns0:c r="C7" s="68" t="n"/>
      <ns0:c r="D7" s="69" t="n"/>
      <ns0:c r="E7" s="73" t="str">
        <ns0:f>IF(OR(C7="",D7=""),"",ROUND(C7*D7,2))</ns0:f>
        <ns0:v/>
      </ns0:c>
      <ns0:c r="F7" s="70" t="n"/>
      <ns0:c r="G7" s="73" t="str">
        <ns0:f>IF(E7="","",ROUND(E7*(1+IF(F7="",0,F7)),2))</ns0:f>
        <ns0:v/>
      </ns0:c>
      <ns0:c r="H7" s="68" t="n"/>
    </ns0:row>
    <ns0:row r="8" ht="32" customHeight="1" s="59">
      <ns0:c r="A8" s="68" t="n"/>
      <ns0:c r="B8" s="68" t="n"/>
      <ns0:c r="C8" s="68" t="n"/>
      <ns0:c r="D8" s="69" t="n"/>
      <ns0:c r="E8" s="72" t="str">
        <ns0:f>IF(OR(C8="",D8=""),"",ROUND(C8*D8,2))</ns0:f>
        <ns0:v/>
      </ns0:c>
      <ns0:c r="F8" s="70" t="n"/>
      <ns0:c r="G8" s="72" t="str">
        <ns0:f>IF(E8="","",ROUND(E8*(1+IF(F8="",0,F8)),2))</ns0:f>
        <ns0:v/>
      </ns0:c>
      <ns0:c r="H8" s="68" t="n"/>
    </ns0:row>
    <ns0:row r="9" ht="32" customHeight="1" s="59">
      <ns0:c r="A9" s="68" t="n"/>
      <ns0:c r="B9" s="68" t="n"/>
      <ns0:c r="C9" s="68" t="n"/>
      <ns0:c r="D9" s="69" t="n"/>
      <ns0:c r="E9" s="73" t="str">
        <ns0:f>IF(OR(C9="",D9=""),"",ROUND(C9*D9,2))</ns0:f>
        <ns0:v/>
      </ns0:c>
      <ns0:c r="F9" s="70" t="n"/>
      <ns0:c r="G9" s="73" t="str">
        <ns0:f>IF(E9="","",ROUND(E9*(1+IF(F9="",0,F9)),2))</ns0:f>
        <ns0:v/>
      </ns0:c>
      <ns0:c r="H9" s="68" t="n"/>
    </ns0:row>
    <ns0:row r="10" ht="32" customHeight="1" s="59">
      <ns0:c r="A10" s="68" t="n"/>
      <ns0:c r="B10" s="68" t="n"/>
      <ns0:c r="C10" s="68" t="n"/>
      <ns0:c r="D10" s="69" t="n"/>
      <ns0:c r="E10" s="72" t="str">
        <ns0:f>IF(OR(C10="",D10=""),"",ROUND(C10*D10,2))</ns0:f>
        <ns0:v/>
      </ns0:c>
      <ns0:c r="F10" s="70" t="n"/>
      <ns0:c r="G10" s="72" t="str">
        <ns0:f>IF(E10="","",ROUND(E10*(1+IF(F10="",0,F10)),2))</ns0:f>
        <ns0:v/>
      </ns0:c>
      <ns0:c r="H10" s="68" t="n"/>
    </ns0:row>
    <ns0:row r="11" ht="32" customHeight="1" s="59">
      <ns0:c r="A11" s="68" t="n"/>
      <ns0:c r="B11" s="68" t="n"/>
      <ns0:c r="C11" s="68" t="n"/>
      <ns0:c r="D11" s="69" t="n"/>
      <ns0:c r="E11" s="73" t="str">
        <ns0:f>IF(OR(C11="",D11=""),"",ROUND(C11*D11,2))</ns0:f>
        <ns0:v/>
      </ns0:c>
      <ns0:c r="F11" s="70" t="n"/>
      <ns0:c r="G11" s="73" t="str">
        <ns0:f>IF(E11="","",ROUND(E11*(1+IF(F11="",0,F11)),2))</ns0:f>
        <ns0:v/>
      </ns0:c>
      <ns0:c r="H11" s="68" t="n"/>
    </ns0:row>
    <ns0:row r="12" ht="32" customHeight="1" s="59">
      <ns0:c r="A12" s="68" t="n"/>
      <ns0:c r="B12" s="68" t="n"/>
      <ns0:c r="C12" s="68" t="n"/>
      <ns0:c r="D12" s="69" t="n"/>
      <ns0:c r="E12" s="72" t="str">
        <ns0:f>IF(OR(C12="",D12=""),"",ROUND(C12*D12,2))</ns0:f>
        <ns0:v/>
      </ns0:c>
      <ns0:c r="F12" s="70" t="n"/>
      <ns0:c r="G12" s="72" t="str">
        <ns0:f>IF(E12="","",ROUND(E12*(1+IF(F12="",0,F12)),2))</ns0:f>
        <ns0:v/>
      </ns0:c>
      <ns0:c r="H12" s="68" t="n"/>
    </ns0:row>
    <ns0:row r="13" ht="32" customHeight="1" s="59">
      <ns0:c r="A13" s="68" t="n"/>
      <ns0:c r="B13" s="68" t="n"/>
      <ns0:c r="C13" s="68" t="n"/>
      <ns0:c r="D13" s="69" t="n"/>
      <ns0:c r="E13" s="73" t="str">
        <ns0:f>IF(OR(C13="",D13=""),"",ROUND(C13*D13,2))</ns0:f>
        <ns0:v/>
      </ns0:c>
      <ns0:c r="F13" s="70" t="n"/>
      <ns0:c r="G13" s="73" t="str">
        <ns0:f>IF(E13="","",ROUND(E13*(1+IF(F13="",0,F13)),2))</ns0:f>
        <ns0:v/>
      </ns0:c>
      <ns0:c r="H13" s="68" t="n"/>
    </ns0:row>
    <ns0:row r="14" ht="32" customHeight="1" s="59">
      <ns0:c r="A14" s="68" t="n"/>
      <ns0:c r="B14" s="68" t="n"/>
      <ns0:c r="C14" s="68" t="n"/>
      <ns0:c r="D14" s="69" t="n"/>
      <ns0:c r="E14" s="72" t="str">
        <ns0:f>IF(OR(C14="",D14=""),"",ROUND(C14*D14,2))</ns0:f>
        <ns0:v/>
      </ns0:c>
      <ns0:c r="F14" s="70" t="n"/>
      <ns0:c r="G14" s="72" t="str">
        <ns0:f>IF(E14="","",ROUND(E14*(1+IF(F14="",0,F14)),2))</ns0:f>
        <ns0:v/>
      </ns0:c>
      <ns0:c r="H14" s="68" t="n"/>
    </ns0:row>
    <ns0:row r="15" ht="32" customHeight="1" s="59">
      <ns0:c r="A15" s="68" t="n"/>
      <ns0:c r="B15" s="68" t="n"/>
      <ns0:c r="C15" s="68" t="n"/>
      <ns0:c r="D15" s="69" t="n"/>
      <ns0:c r="E15" s="73" t="str">
        <ns0:f>IF(OR(C15="",D15=""),"",ROUND(C15*D15,2))</ns0:f>
        <ns0:v/>
      </ns0:c>
      <ns0:c r="F15" s="70" t="n"/>
      <ns0:c r="G15" s="73" t="str">
        <ns0:f>IF(E15="","",ROUND(E15*(1+IF(F15="",0,F15)),2))</ns0:f>
        <ns0:v/>
      </ns0:c>
      <ns0:c r="H15" s="68" t="n"/>
    </ns0:row>
    <ns0:row r="16" ht="32" customHeight="1" s="59">
      <ns0:c r="A16" s="68" t="n"/>
      <ns0:c r="B16" s="68" t="n"/>
      <ns0:c r="C16" s="68" t="n"/>
      <ns0:c r="D16" s="69" t="n"/>
      <ns0:c r="E16" s="72" t="str">
        <ns0:f>IF(OR(C16="",D16=""),"",ROUND(C16*D16,2))</ns0:f>
        <ns0:v/>
      </ns0:c>
      <ns0:c r="F16" s="70" t="n"/>
      <ns0:c r="G16" s="72" t="str">
        <ns0:f>IF(E16="","",ROUND(E16*(1+IF(F16="",0,F16)),2))</ns0:f>
        <ns0:v/>
      </ns0:c>
      <ns0:c r="H16" s="68" t="n"/>
    </ns0:row>
    <ns0:row r="17" ht="32" customHeight="1" s="59">
      <ns0:c r="A17" s="68" t="n"/>
      <ns0:c r="B17" s="68" t="n"/>
      <ns0:c r="C17" s="68" t="n"/>
      <ns0:c r="D17" s="69" t="n"/>
      <ns0:c r="E17" s="73" t="str">
        <ns0:f>IF(OR(C17="",D17=""),"",ROUND(C17*D17,2))</ns0:f>
        <ns0:v/>
      </ns0:c>
      <ns0:c r="F17" s="70" t="n"/>
      <ns0:c r="G17" s="73" t="str">
        <ns0:f>IF(E17="","",ROUND(E17*(1+IF(F17="",0,F17)),2))</ns0:f>
        <ns0:v/>
      </ns0:c>
      <ns0:c r="H17" s="68" t="n"/>
    </ns0:row>
    <ns0:row r="18" ht="32" customHeight="1" s="59">
      <ns0:c r="A18" s="68" t="n"/>
      <ns0:c r="B18" s="68" t="n"/>
      <ns0:c r="C18" s="68" t="n"/>
      <ns0:c r="D18" s="69" t="n"/>
      <ns0:c r="E18" s="72" t="str">
        <ns0:f>IF(OR(C18="",D18=""),"",ROUND(C18*D18,2))</ns0:f>
        <ns0:v/>
      </ns0:c>
      <ns0:c r="F18" s="70" t="n"/>
      <ns0:c r="G18" s="72" t="str">
        <ns0:f>IF(E18="","",ROUND(E18*(1+IF(F18="",0,F18)),2))</ns0:f>
        <ns0:v/>
      </ns0:c>
      <ns0:c r="H18" s="68" t="n"/>
    </ns0:row>
    <ns0:row r="19" ht="32" customHeight="1" s="59">
      <ns0:c r="A19" s="68" t="n"/>
      <ns0:c r="B19" s="68" t="n"/>
      <ns0:c r="C19" s="68" t="n"/>
      <ns0:c r="D19" s="69" t="n"/>
      <ns0:c r="E19" s="73" t="str">
        <ns0:f>IF(OR(C19="",D19=""),"",ROUND(C19*D19,2))</ns0:f>
        <ns0:v/>
      </ns0:c>
      <ns0:c r="F19" s="70" t="n"/>
      <ns0:c r="G19" s="73" t="str">
        <ns0:f>IF(E19="","",ROUND(E19*(1+IF(F19="",0,F19)),2))</ns0:f>
        <ns0:v/>
      </ns0:c>
      <ns0:c r="H19" s="68" t="n"/>
    </ns0:row>
    <ns0:row r="20" ht="32" customHeight="1" s="59">
      <ns0:c r="A20" s="68" t="n"/>
      <ns0:c r="B20" s="68" t="n"/>
      <ns0:c r="C20" s="68" t="n"/>
      <ns0:c r="D20" s="69" t="n"/>
      <ns0:c r="E20" s="72" t="str">
        <ns0:f>IF(OR(C20="",D20=""),"",ROUND(C20*D20,2))</ns0:f>
        <ns0:v/>
      </ns0:c>
      <ns0:c r="F20" s="70" t="n"/>
      <ns0:c r="G20" s="72" t="str">
        <ns0:f>IF(E20="","",ROUND(E20*(1+IF(F20="",0,F20)),2))</ns0:f>
        <ns0:v/>
      </ns0:c>
      <ns0:c r="H20" s="68" t="n"/>
    </ns0:row>
    <ns0:row r="21" ht="32" customHeight="1" s="59">
      <ns0:c r="A21" s="68" t="n"/>
      <ns0:c r="B21" s="68" t="n"/>
      <ns0:c r="C21" s="68" t="n"/>
      <ns0:c r="D21" s="69" t="n"/>
      <ns0:c r="E21" s="73" t="str">
        <ns0:f>IF(OR(C21="",D21=""),"",ROUND(C21*D21,2))</ns0:f>
        <ns0:v/>
      </ns0:c>
      <ns0:c r="F21" s="70" t="n"/>
      <ns0:c r="G21" s="73" t="str">
        <ns0:f>IF(E21="","",ROUND(E21*(1+IF(F21="",0,F21)),2))</ns0:f>
        <ns0:v/>
      </ns0:c>
      <ns0:c r="H21" s="68" t="n"/>
    </ns0:row>
    <ns0:row r="22" ht="32" customHeight="1" s="59">
      <ns0:c r="A22" s="68" t="n"/>
      <ns0:c r="B22" s="68" t="n"/>
      <ns0:c r="C22" s="68" t="n"/>
      <ns0:c r="D22" s="69" t="n"/>
      <ns0:c r="E22" s="72" t="str">
        <ns0:f>IF(OR(C22="",D22=""),"",ROUND(C22*D22,2))</ns0:f>
        <ns0:v/>
      </ns0:c>
      <ns0:c r="F22" s="70" t="n"/>
      <ns0:c r="G22" s="72" t="str">
        <ns0:f>IF(E22="","",ROUND(E22*(1+IF(F22="",0,F22)),2))</ns0:f>
        <ns0:v/>
      </ns0:c>
      <ns0:c r="H22" s="68" t="n"/>
    </ns0:row>
    <ns0:row r="23" ht="32" customHeight="1" s="59">
      <ns0:c r="A23" s="68" t="n"/>
      <ns0:c r="B23" s="68" t="n"/>
      <ns0:c r="C23" s="68" t="n"/>
      <ns0:c r="D23" s="69" t="n"/>
      <ns0:c r="E23" s="73" t="str">
        <ns0:f>IF(OR(C23="",D23=""),"",ROUND(C23*D23,2))</ns0:f>
        <ns0:v/>
      </ns0:c>
      <ns0:c r="F23" s="70" t="n"/>
      <ns0:c r="G23" s="73" t="str">
        <ns0:f>IF(E23="","",ROUND(E23*(1+IF(F23="",0,F23)),2))</ns0:f>
        <ns0:v/>
      </ns0:c>
      <ns0:c r="H23" s="68" t="n"/>
    </ns0:row>
    <ns0:row r="24" ht="32" customHeight="1" s="59">
      <ns0:c r="A24" s="68" t="n"/>
      <ns0:c r="B24" s="68" t="n"/>
      <ns0:c r="C24" s="68" t="n"/>
      <ns0:c r="D24" s="69" t="n"/>
      <ns0:c r="E24" s="72" t="str">
        <ns0:f>IF(OR(C24="",D24=""),"",ROUND(C24*D24,2))</ns0:f>
        <ns0:v/>
      </ns0:c>
      <ns0:c r="F24" s="70" t="n"/>
      <ns0:c r="G24" s="72" t="str">
        <ns0:f>IF(E24="","",ROUND(E24*(1+IF(F24="",0,F24)),2))</ns0:f>
        <ns0:v/>
      </ns0:c>
      <ns0:c r="H24" s="68" t="n"/>
    </ns0:row>
    <ns0:row r="25" ht="32" customHeight="1" s="59">
      <ns0:c r="A25" s="68" t="n"/>
      <ns0:c r="B25" s="68" t="n"/>
      <ns0:c r="C25" s="68" t="n"/>
      <ns0:c r="D25" s="69" t="n"/>
      <ns0:c r="E25" s="73" t="str">
        <ns0:f>IF(OR(C25="",D25=""),"",ROUND(C25*D25,2))</ns0:f>
        <ns0:v/>
      </ns0:c>
      <ns0:c r="F25" s="70" t="n"/>
      <ns0:c r="G25" s="73" t="str">
        <ns0:f>IF(E25="","",ROUND(E25*(1+IF(F25="",0,F25)),2))</ns0:f>
        <ns0:v/>
      </ns0:c>
      <ns0:c r="H25" s="68" t="n"/>
    </ns0:row>
    <ns0:row r="26" ht="32" customHeight="1" s="59">
      <ns0:c r="A26" s="68" t="n"/>
      <ns0:c r="B26" s="68" t="n"/>
      <ns0:c r="C26" s="68" t="n"/>
      <ns0:c r="D26" s="69" t="n"/>
      <ns0:c r="E26" s="72" t="str">
        <ns0:f>IF(OR(C26="",D26=""),"",ROUND(C26*D26,2))</ns0:f>
        <ns0:v/>
      </ns0:c>
      <ns0:c r="F26" s="70" t="n"/>
      <ns0:c r="G26" s="72" t="str">
        <ns0:f>IF(E26="","",ROUND(E26*(1+IF(F26="",0,F26)),2))</ns0:f>
        <ns0:v/>
      </ns0:c>
      <ns0:c r="H26" s="68" t="n"/>
    </ns0:row>
    <ns0:row r="27" ht="32" customHeight="1" s="59">
      <ns0:c r="A27" s="68" t="n"/>
      <ns0:c r="B27" s="68" t="n"/>
      <ns0:c r="C27" s="68" t="n"/>
      <ns0:c r="D27" s="69" t="n"/>
      <ns0:c r="E27" s="73" t="str">
        <ns0:f>IF(OR(C27="",D27=""),"",ROUND(C27*D27,2))</ns0:f>
        <ns0:v/>
      </ns0:c>
      <ns0:c r="F27" s="70" t="n"/>
      <ns0:c r="G27" s="73" t="str">
        <ns0:f>IF(E27="","",ROUND(E27*(1+IF(F27="",0,F27)),2))</ns0:f>
        <ns0:v/>
      </ns0:c>
      <ns0:c r="H27" s="68" t="n"/>
    </ns0:row>
    <ns0:row r="28" ht="32" customHeight="1" s="59">
      <ns0:c r="A28" s="68" t="n"/>
      <ns0:c r="B28" s="68" t="n"/>
      <ns0:c r="C28" s="68" t="n"/>
      <ns0:c r="D28" s="69" t="n"/>
      <ns0:c r="E28" s="72" t="str">
        <ns0:f>IF(OR(C28="",D28=""),"",ROUND(C28*D28,2))</ns0:f>
        <ns0:v/>
      </ns0:c>
      <ns0:c r="F28" s="70" t="n"/>
      <ns0:c r="G28" s="72" t="str">
        <ns0:f>IF(E28="","",ROUND(E28*(1+IF(F28="",0,F28)),2))</ns0:f>
        <ns0:v/>
      </ns0:c>
      <ns0:c r="H28" s="68" t="n"/>
    </ns0:row>
    <ns0:row r="29" ht="32" customHeight="1" s="59">
      <ns0:c r="A29" s="68" t="n"/>
      <ns0:c r="B29" s="68" t="n"/>
      <ns0:c r="C29" s="68" t="n"/>
      <ns0:c r="D29" s="69" t="n"/>
      <ns0:c r="E29" s="73" t="str">
        <ns0:f>IF(OR(C29="",D29=""),"",ROUND(C29*D29,2))</ns0:f>
        <ns0:v/>
      </ns0:c>
      <ns0:c r="F29" s="70" t="n"/>
      <ns0:c r="G29" s="73" t="str">
        <ns0:f>IF(E29="","",ROUND(E29*(1+IF(F29="",0,F29)),2))</ns0:f>
        <ns0:v/>
      </ns0:c>
      <ns0:c r="H29" s="68" t="n"/>
    </ns0:row>
    <ns0:row r="30" ht="32" customHeight="1" s="59">
      <ns0:c r="A30" s="68" t="n"/>
      <ns0:c r="B30" s="68" t="n"/>
      <ns0:c r="C30" s="68" t="n"/>
      <ns0:c r="D30" s="69" t="n"/>
      <ns0:c r="E30" s="72" t="str">
        <ns0:f>IF(OR(C30="",D30=""),"",ROUND(C30*D30,2))</ns0:f>
        <ns0:v/>
      </ns0:c>
      <ns0:c r="F30" s="70" t="n"/>
      <ns0:c r="G30" s="72" t="str">
        <ns0:f>IF(E30="","",ROUND(E30*(1+IF(F30="",0,F30)),2))</ns0:f>
        <ns0:v/>
      </ns0:c>
      <ns0:c r="H30" s="68" t="n"/>
    </ns0:row>
    <ns0:row r="31" ht="32" customHeight="1" s="59">
      <ns0:c r="A31" s="68" t="n"/>
      <ns0:c r="B31" s="68" t="n"/>
      <ns0:c r="C31" s="68" t="n"/>
      <ns0:c r="D31" s="69" t="n"/>
      <ns0:c r="E31" s="73" t="str">
        <ns0:f>IF(OR(C31="",D31=""),"",ROUND(C31*D31,2))</ns0:f>
        <ns0:v/>
      </ns0:c>
      <ns0:c r="F31" s="70" t="n"/>
      <ns0:c r="G31" s="73" t="str">
        <ns0:f>IF(E31="","",ROUND(E31*(1+IF(F31="",0,F31)),2))</ns0:f>
        <ns0:v/>
      </ns0:c>
      <ns0:c r="H31" s="68" t="n"/>
    </ns0:row>
    <ns0:row r="32" ht="32" customHeight="1" s="59">
      <ns0:c r="A32" s="68" t="n"/>
      <ns0:c r="B32" s="68" t="n"/>
      <ns0:c r="C32" s="68" t="n"/>
      <ns0:c r="D32" s="69" t="n"/>
      <ns0:c r="E32" s="72" t="str">
        <ns0:f>IF(OR(C32="",D32=""),"",ROUND(C32*D32,2))</ns0:f>
        <ns0:v/>
      </ns0:c>
      <ns0:c r="F32" s="70" t="n"/>
      <ns0:c r="G32" s="72" t="str">
        <ns0:f>IF(E32="","",ROUND(E32*(1+IF(F32="",0,F32)),2))</ns0:f>
        <ns0:v/>
      </ns0:c>
      <ns0:c r="H32" s="68" t="n"/>
    </ns0:row>
    <ns0:row r="33" ht="32" customHeight="1" s="59">
      <ns0:c r="A33" s="68" t="n"/>
      <ns0:c r="B33" s="68" t="n"/>
      <ns0:c r="C33" s="68" t="n"/>
      <ns0:c r="D33" s="69" t="n"/>
      <ns0:c r="E33" s="73" t="str">
        <ns0:f>IF(OR(C33="",D33=""),"",ROUND(C33*D33,2))</ns0:f>
        <ns0:v/>
      </ns0:c>
      <ns0:c r="F33" s="70" t="n"/>
      <ns0:c r="G33" s="73" t="str">
        <ns0:f>IF(E33="","",ROUND(E33*(1+IF(F33="",0,F33)),2))</ns0:f>
        <ns0:v/>
      </ns0:c>
      <ns0:c r="H33" s="68" t="n"/>
    </ns0:row>
    <ns0:row r="34" ht="32" customHeight="1" s="59">
      <ns0:c r="A34" s="68" t="n"/>
      <ns0:c r="B34" s="68" t="n"/>
      <ns0:c r="C34" s="68" t="n"/>
      <ns0:c r="D34" s="69" t="n"/>
      <ns0:c r="E34" s="72" t="str">
        <ns0:f>IF(OR(C34="",D34=""),"",ROUND(C34*D34,2))</ns0:f>
        <ns0:v/>
      </ns0:c>
      <ns0:c r="F34" s="70" t="n"/>
      <ns0:c r="G34" s="72" t="str">
        <ns0:f>IF(E34="","",ROUND(E34*(1+IF(F34="",0,F34)),2))</ns0:f>
        <ns0:v/>
      </ns0:c>
      <ns0:c r="H34" s="68" t="n"/>
    </ns0:row>
    <ns0:row r="35" ht="32" customHeight="1" s="59">
      <ns0:c r="A35" s="68" t="n"/>
      <ns0:c r="B35" s="68" t="n"/>
      <ns0:c r="C35" s="68" t="n"/>
      <ns0:c r="D35" s="69" t="n"/>
      <ns0:c r="E35" s="73" t="str">
        <ns0:f>IF(OR(C35="",D35=""),"",ROUND(C35*D35,2))</ns0:f>
        <ns0:v/>
      </ns0:c>
      <ns0:c r="F35" s="70" t="n"/>
      <ns0:c r="G35" s="73" t="str">
        <ns0:f>IF(E35="","",ROUND(E35*(1+IF(F35="",0,F35)),2))</ns0:f>
        <ns0:v/>
      </ns0:c>
      <ns0:c r="H35" s="68" t="n"/>
    </ns0:row>
    <ns0:row r="36" ht="32" customHeight="1" s="59">
      <ns0:c r="A36" s="68" t="n"/>
      <ns0:c r="B36" s="68" t="n"/>
      <ns0:c r="C36" s="68" t="n"/>
      <ns0:c r="D36" s="69" t="n"/>
      <ns0:c r="E36" s="72" t="str">
        <ns0:f>IF(OR(C36="",D36=""),"",ROUND(C36*D36,2))</ns0:f>
        <ns0:v/>
      </ns0:c>
      <ns0:c r="F36" s="70" t="n"/>
      <ns0:c r="G36" s="72" t="str">
        <ns0:f>IF(E36="","",ROUND(E36*(1+IF(F36="",0,F36)),2))</ns0:f>
        <ns0:v/>
      </ns0:c>
      <ns0:c r="H36" s="68" t="n"/>
    </ns0:row>
    <ns0:row r="37" ht="32" customHeight="1" s="59">
      <ns0:c r="A37" s="68" t="n"/>
      <ns0:c r="B37" s="68" t="n"/>
      <ns0:c r="C37" s="68" t="n"/>
      <ns0:c r="D37" s="69" t="n"/>
      <ns0:c r="E37" s="73" t="str">
        <ns0:f>IF(OR(C37="",D37=""),"",ROUND(C37*D37,2))</ns0:f>
        <ns0:v/>
      </ns0:c>
      <ns0:c r="F37" s="70" t="n"/>
      <ns0:c r="G37" s="73" t="str">
        <ns0:f>IF(E37="","",ROUND(E37*(1+IF(F37="",0,F37)),2))</ns0:f>
        <ns0:v/>
      </ns0:c>
      <ns0:c r="H37" s="68" t="n"/>
    </ns0:row>
    <ns0:row r="38" ht="32" customHeight="1" s="59">
      <ns0:c r="A38" s="68" t="n"/>
      <ns0:c r="B38" s="68" t="n"/>
      <ns0:c r="C38" s="68" t="n"/>
      <ns0:c r="D38" s="69" t="n"/>
      <ns0:c r="E38" s="72" t="str">
        <ns0:f>IF(OR(C38="",D38=""),"",ROUND(C38*D38,2))</ns0:f>
        <ns0:v/>
      </ns0:c>
      <ns0:c r="F38" s="70" t="n"/>
      <ns0:c r="G38" s="72" t="str">
        <ns0:f>IF(E38="","",ROUND(E38*(1+IF(F38="",0,F38)),2))</ns0:f>
        <ns0:v/>
      </ns0:c>
      <ns0:c r="H38" s="68" t="n"/>
    </ns0:row>
    <ns0:row r="39" ht="32" customHeight="1" s="59">
      <ns0:c r="A39" s="68" t="n"/>
      <ns0:c r="B39" s="68" t="n"/>
      <ns0:c r="C39" s="68" t="n"/>
      <ns0:c r="D39" s="69" t="n"/>
      <ns0:c r="E39" s="73" t="str">
        <ns0:f>IF(OR(C39="",D39=""),"",ROUND(C39*D39,2))</ns0:f>
        <ns0:v/>
      </ns0:c>
      <ns0:c r="F39" s="70" t="n"/>
      <ns0:c r="G39" s="73" t="str">
        <ns0:f>IF(E39="","",ROUND(E39*(1+IF(F39="",0,F39)),2))</ns0:f>
        <ns0:v/>
      </ns0:c>
      <ns0:c r="H39" s="68" t="n"/>
    </ns0:row>
    <ns0:row r="40" ht="32" customHeight="1" s="59">
      <ns0:c r="A40" s="68" t="n"/>
      <ns0:c r="B40" s="68" t="n"/>
      <ns0:c r="C40" s="68" t="n"/>
      <ns0:c r="D40" s="69" t="n"/>
      <ns0:c r="E40" s="72" t="str">
        <ns0:f>IF(OR(C40="",D40=""),"",ROUND(C40*D40,2))</ns0:f>
        <ns0:v/>
      </ns0:c>
      <ns0:c r="F40" s="70" t="n"/>
      <ns0:c r="G40" s="72" t="str">
        <ns0:f>IF(E40="","",ROUND(E40*(1+IF(F40="",0,F40)),2))</ns0:f>
        <ns0:v/>
      </ns0:c>
      <ns0:c r="H40" s="68" t="n"/>
    </ns0:row>
    <ns0:row r="41" ht="32" customHeight="1" s="59">
      <ns0:c r="A41" s="68" t="n"/>
      <ns0:c r="B41" s="68" t="n"/>
      <ns0:c r="C41" s="68" t="n"/>
      <ns0:c r="D41" s="69" t="n"/>
      <ns0:c r="E41" s="73" t="str">
        <ns0:f>IF(OR(C41="",D41=""),"",ROUND(C41*D41,2))</ns0:f>
        <ns0:v/>
      </ns0:c>
      <ns0:c r="F41" s="70" t="n"/>
      <ns0:c r="G41" s="73" t="str">
        <ns0:f>IF(E41="","",ROUND(E41*(1+IF(F41="",0,F41)),2))</ns0:f>
        <ns0:v/>
      </ns0:c>
      <ns0:c r="H41" s="68" t="n"/>
    </ns0:row>
    <ns0:row r="42" ht="32" customHeight="1" s="59">
      <ns0:c r="A42" s="68" t="n"/>
      <ns0:c r="B42" s="68" t="n"/>
      <ns0:c r="C42" s="68" t="n"/>
      <ns0:c r="D42" s="69" t="n"/>
      <ns0:c r="E42" s="72" t="str">
        <ns0:f>IF(OR(C42="",D42=""),"",ROUND(C42*D42,2))</ns0:f>
        <ns0:v/>
      </ns0:c>
      <ns0:c r="F42" s="70" t="n"/>
      <ns0:c r="G42" s="72" t="str">
        <ns0:f>IF(E42="","",ROUND(E42*(1+IF(F42="",0,F42)),2))</ns0:f>
        <ns0:v/>
      </ns0:c>
      <ns0:c r="H42" s="68" t="n"/>
    </ns0:row>
    <ns0:row r="43" ht="32" customHeight="1" s="59">
      <ns0:c r="A43" s="68" t="n"/>
      <ns0:c r="B43" s="68" t="n"/>
      <ns0:c r="C43" s="68" t="n"/>
      <ns0:c r="D43" s="69" t="n"/>
      <ns0:c r="E43" s="73" t="str">
        <ns0:f>IF(OR(C43="",D43=""),"",ROUND(C43*D43,2))</ns0:f>
        <ns0:v/>
      </ns0:c>
      <ns0:c r="F43" s="70" t="n"/>
      <ns0:c r="G43" s="73" t="str">
        <ns0:f>IF(E43="","",ROUND(E43*(1+IF(F43="",0,F43)),2))</ns0:f>
        <ns0:v/>
      </ns0:c>
      <ns0:c r="H43" s="68" t="n"/>
    </ns0:row>
    <ns0:row r="44" ht="32" customHeight="1" s="59">
      <ns0:c r="A44" s="68" t="n"/>
      <ns0:c r="B44" s="68" t="n"/>
      <ns0:c r="C44" s="68" t="n"/>
      <ns0:c r="D44" s="69" t="n"/>
      <ns0:c r="E44" s="72" t="str">
        <ns0:f>IF(OR(C44="",D44=""),"",ROUND(C44*D44,2))</ns0:f>
        <ns0:v/>
      </ns0:c>
      <ns0:c r="F44" s="70" t="n"/>
      <ns0:c r="G44" s="72" t="str">
        <ns0:f>IF(E44="","",ROUND(E44*(1+IF(F44="",0,F44)),2))</ns0:f>
        <ns0:v/>
      </ns0:c>
      <ns0:c r="H44" s="68" t="n"/>
    </ns0:row>
    <ns0:row r="45" ht="32" customHeight="1" s="59">
      <ns0:c r="A45" s="68" t="n"/>
      <ns0:c r="B45" s="68" t="n"/>
      <ns0:c r="C45" s="68" t="n"/>
      <ns0:c r="D45" s="69" t="n"/>
      <ns0:c r="E45" s="73" t="str">
        <ns0:f>IF(OR(C45="",D45=""),"",ROUND(C45*D45,2))</ns0:f>
        <ns0:v/>
      </ns0:c>
      <ns0:c r="F45" s="70" t="n"/>
      <ns0:c r="G45" s="73" t="str">
        <ns0:f>IF(E45="","",ROUND(E45*(1+IF(F45="",0,F45)),2))</ns0:f>
        <ns0:v/>
      </ns0:c>
      <ns0:c r="H45" s="68" t="n"/>
    </ns0:row>
    <ns0:row r="46" ht="32" customHeight="1" s="59">
      <ns0:c r="A46" s="68" t="n"/>
      <ns0:c r="B46" s="68" t="n"/>
      <ns0:c r="C46" s="68" t="n"/>
      <ns0:c r="D46" s="69" t="n"/>
      <ns0:c r="E46" s="72" t="str">
        <ns0:f>IF(OR(C46="",D46=""),"",ROUND(C46*D46,2))</ns0:f>
        <ns0:v/>
      </ns0:c>
      <ns0:c r="F46" s="70" t="n"/>
      <ns0:c r="G46" s="72" t="str">
        <ns0:f>IF(E46="","",ROUND(E46*(1+IF(F46="",0,F46)),2))</ns0:f>
        <ns0:v/>
      </ns0:c>
      <ns0:c r="H46" s="68" t="n"/>
    </ns0:row>
    <ns0:row r="47" ht="32" customHeight="1" s="59">
      <ns0:c r="A47" s="68" t="n"/>
      <ns0:c r="B47" s="68" t="n"/>
      <ns0:c r="C47" s="68" t="n"/>
      <ns0:c r="D47" s="69" t="n"/>
      <ns0:c r="E47" s="73" t="str">
        <ns0:f>IF(OR(C47="",D47=""),"",ROUND(C47*D47,2))</ns0:f>
        <ns0:v/>
      </ns0:c>
      <ns0:c r="F47" s="70" t="n"/>
      <ns0:c r="G47" s="73" t="str">
        <ns0:f>IF(E47="","",ROUND(E47*(1+IF(F47="",0,F47)),2))</ns0:f>
        <ns0:v/>
      </ns0:c>
      <ns0:c r="H47" s="68" t="n"/>
    </ns0:row>
    <ns0:row r="48" ht="32" customHeight="1" s="59">
      <ns0:c r="A48" s="68" t="n"/>
      <ns0:c r="B48" s="68" t="n"/>
      <ns0:c r="C48" s="68" t="n"/>
      <ns0:c r="D48" s="69" t="n"/>
      <ns0:c r="E48" s="72" t="str">
        <ns0:f>IF(OR(C48="",D48=""),"",ROUND(C48*D48,2))</ns0:f>
        <ns0:v/>
      </ns0:c>
      <ns0:c r="F48" s="70" t="n"/>
      <ns0:c r="G48" s="72" t="str">
        <ns0:f>IF(E48="","",ROUND(E48*(1+IF(F48="",0,F48)),2))</ns0:f>
        <ns0:v/>
      </ns0:c>
      <ns0:c r="H48" s="68" t="n"/>
    </ns0:row>
    <ns0:row r="49" ht="32" customHeight="1" s="59">
      <ns0:c r="A49" s="68" t="n"/>
      <ns0:c r="B49" s="68" t="n"/>
      <ns0:c r="C49" s="68" t="n"/>
      <ns0:c r="D49" s="69" t="n"/>
      <ns0:c r="E49" s="73" t="str">
        <ns0:f>IF(OR(C49="",D49=""),"",ROUND(C49*D49,2))</ns0:f>
        <ns0:v/>
      </ns0:c>
      <ns0:c r="F49" s="70" t="n"/>
      <ns0:c r="G49" s="73" t="str">
        <ns0:f>IF(E49="","",ROUND(E49*(1+IF(F49="",0,F49)),2))</ns0:f>
        <ns0:v/>
      </ns0:c>
      <ns0:c r="H49" s="68" t="n"/>
    </ns0:row>
    <ns0:row r="50" ht="32" customHeight="1" s="59">
      <ns0:c r="A50" s="68" t="n"/>
      <ns0:c r="B50" s="68" t="n"/>
      <ns0:c r="C50" s="68" t="n"/>
      <ns0:c r="D50" s="69" t="n"/>
      <ns0:c r="E50" s="72" t="str">
        <ns0:f>IF(OR(C50="",D50=""),"",ROUND(C50*D50,2))</ns0:f>
        <ns0:v/>
      </ns0:c>
      <ns0:c r="F50" s="70" t="n"/>
      <ns0:c r="G50" s="72" t="str">
        <ns0:f>IF(E50="","",ROUND(E50*(1+IF(F50="",0,F50)),2))</ns0:f>
        <ns0:v/>
      </ns0:c>
      <ns0:c r="H50" s="68" t="n"/>
    </ns0:row>
    <ns0:row r="51" ht="32" customHeight="1" s="59">
      <ns0:c r="A51" s="68" t="n"/>
      <ns0:c r="B51" s="68" t="n"/>
      <ns0:c r="C51" s="68" t="n"/>
      <ns0:c r="D51" s="69" t="n"/>
      <ns0:c r="E51" s="73" t="str">
        <ns0:f>IF(OR(C51="",D51=""),"",ROUND(C51*D51,2))</ns0:f>
        <ns0:v/>
      </ns0:c>
      <ns0:c r="F51" s="70" t="n"/>
      <ns0:c r="G51" s="73" t="str">
        <ns0:f>IF(E51="","",ROUND(E51*(1+IF(F51="",0,F51)),2))</ns0:f>
        <ns0:v/>
      </ns0:c>
      <ns0:c r="H51" s="68" t="n"/>
    </ns0:row>
    <ns0:row r="52" ht="32" customHeight="1" s="59">
      <ns0:c r="A52" s="68" t="n"/>
      <ns0:c r="B52" s="68" t="n"/>
      <ns0:c r="C52" s="68" t="n"/>
      <ns0:c r="D52" s="69" t="n"/>
      <ns0:c r="E52" s="72" t="str">
        <ns0:f>IF(OR(C52="",D52=""),"",ROUND(C52*D52,2))</ns0:f>
        <ns0:v/>
      </ns0:c>
      <ns0:c r="F52" s="70" t="n"/>
      <ns0:c r="G52" s="72" t="str">
        <ns0:f>IF(E52="","",ROUND(E52*(1+IF(F52="",0,F52)),2))</ns0:f>
        <ns0:v/>
      </ns0:c>
      <ns0:c r="H52" s="68" t="n"/>
    </ns0:row>
    <ns0:row r="53" ht="32" customHeight="1" s="59">
      <ns0:c r="A53" s="68" t="n"/>
      <ns0:c r="B53" s="68" t="n"/>
      <ns0:c r="C53" s="68" t="n"/>
      <ns0:c r="D53" s="69" t="n"/>
      <ns0:c r="E53" s="73" t="str">
        <ns0:f>IF(OR(C53="",D53=""),"",ROUND(C53*D53,2))</ns0:f>
        <ns0:v/>
      </ns0:c>
      <ns0:c r="F53" s="70" t="n"/>
      <ns0:c r="G53" s="73" t="str">
        <ns0:f>IF(E53="","",ROUND(E53*(1+IF(F53="",0,F53)),2))</ns0:f>
        <ns0:v/>
      </ns0:c>
      <ns0:c r="H53" s="68" t="n"/>
    </ns0:row>
    <ns0:row r="54" ht="32" customHeight="1" s="59">
      <ns0:c r="A54" s="68" t="n"/>
      <ns0:c r="B54" s="68" t="n"/>
      <ns0:c r="C54" s="68" t="n"/>
      <ns0:c r="D54" s="69" t="n"/>
      <ns0:c r="E54" s="72" t="str">
        <ns0:f>IF(OR(C54="",D54=""),"",ROUND(C54*D54,2))</ns0:f>
        <ns0:v/>
      </ns0:c>
      <ns0:c r="F54" s="70" t="n"/>
      <ns0:c r="G54" s="72" t="str">
        <ns0:f>IF(E54="","",ROUND(E54*(1+IF(F54="",0,F54)),2))</ns0:f>
        <ns0:v/>
      </ns0:c>
      <ns0:c r="H54" s="68" t="n"/>
    </ns0:row>
    <ns0:row r="55" ht="32" customHeight="1" s="59">
      <ns0:c r="A55" s="68" t="n"/>
      <ns0:c r="B55" s="68" t="n"/>
      <ns0:c r="C55" s="68" t="n"/>
      <ns0:c r="D55" s="69" t="n"/>
      <ns0:c r="E55" s="73" t="str">
        <ns0:f>IF(OR(C55="",D55=""),"",ROUND(C55*D55,2))</ns0:f>
        <ns0:v/>
      </ns0:c>
      <ns0:c r="F55" s="70" t="n"/>
      <ns0:c r="G55" s="73" t="str">
        <ns0:f>IF(E55="","",ROUND(E55*(1+IF(F55="",0,F55)),2))</ns0:f>
        <ns0:v/>
      </ns0:c>
      <ns0:c r="H55" s="68" t="n"/>
    </ns0:row>
    <ns0:row r="56" ht="32" customHeight="1" s="59">
      <ns0:c r="A56" s="68" t="n"/>
      <ns0:c r="B56" s="68" t="n"/>
      <ns0:c r="C56" s="68" t="n"/>
      <ns0:c r="D56" s="69" t="n"/>
      <ns0:c r="E56" s="72" t="str">
        <ns0:f>IF(OR(C56="",D56=""),"",ROUND(C56*D56,2))</ns0:f>
        <ns0:v/>
      </ns0:c>
      <ns0:c r="F56" s="70" t="n"/>
      <ns0:c r="G56" s="72" t="str">
        <ns0:f>IF(E56="","",ROUND(E56*(1+IF(F56="",0,F56)),2))</ns0:f>
        <ns0:v/>
      </ns0:c>
      <ns0:c r="H56" s="68" t="n"/>
    </ns0:row>
    <ns0:row r="57" ht="32" customHeight="1" s="59">
      <ns0:c r="A57" s="68" t="n"/>
      <ns0:c r="B57" s="68" t="n"/>
      <ns0:c r="C57" s="68" t="n"/>
      <ns0:c r="D57" s="69" t="n"/>
      <ns0:c r="E57" s="73" t="str">
        <ns0:f>IF(OR(C57="",D57=""),"",ROUND(C57*D57,2))</ns0:f>
        <ns0:v/>
      </ns0:c>
      <ns0:c r="F57" s="70" t="n"/>
      <ns0:c r="G57" s="73" t="str">
        <ns0:f>IF(E57="","",ROUND(E57*(1+IF(F57="",0,F57)),2))</ns0:f>
        <ns0:v/>
      </ns0:c>
      <ns0:c r="H57" s="68" t="n"/>
    </ns0:row>
    <ns0:row r="58" ht="32" customHeight="1" s="59">
      <ns0:c r="A58" s="68" t="n"/>
      <ns0:c r="B58" s="68" t="n"/>
      <ns0:c r="C58" s="68" t="n"/>
      <ns0:c r="D58" s="69" t="n"/>
      <ns0:c r="E58" s="72" t="str">
        <ns0:f>IF(OR(C58="",D58=""),"",ROUND(C58*D58,2))</ns0:f>
        <ns0:v/>
      </ns0:c>
      <ns0:c r="F58" s="70" t="n"/>
      <ns0:c r="G58" s="72" t="str">
        <ns0:f>IF(E58="","",ROUND(E58*(1+IF(F58="",0,F58)),2))</ns0:f>
        <ns0:v/>
      </ns0:c>
      <ns0:c r="H58" s="68" t="n"/>
    </ns0:row>
    <ns0:row r="59" ht="32" customHeight="1" s="59">
      <ns0:c r="A59" s="68" t="n"/>
      <ns0:c r="B59" s="68" t="n"/>
      <ns0:c r="C59" s="68" t="n"/>
      <ns0:c r="D59" s="69" t="n"/>
      <ns0:c r="E59" s="73" t="str">
        <ns0:f>IF(OR(C59="",D59=""),"",ROUND(C59*D59,2))</ns0:f>
        <ns0:v/>
      </ns0:c>
      <ns0:c r="F59" s="70" t="n"/>
      <ns0:c r="G59" s="73" t="str">
        <ns0:f>IF(E59="","",ROUND(E59*(1+IF(F59="",0,F59)),2))</ns0:f>
        <ns0:v/>
      </ns0:c>
      <ns0:c r="H59" s="68" t="n"/>
    </ns0:row>
    <ns0:row r="60" ht="32" customHeight="1" s="59">
      <ns0:c r="A60" s="68" t="n"/>
      <ns0:c r="B60" s="68" t="n"/>
      <ns0:c r="C60" s="68" t="n"/>
      <ns0:c r="D60" s="69" t="n"/>
      <ns0:c r="E60" s="72" t="str">
        <ns0:f>IF(OR(C60="",D60=""),"",ROUND(C60*D60,2))</ns0:f>
        <ns0:v/>
      </ns0:c>
      <ns0:c r="F60" s="70" t="n"/>
      <ns0:c r="G60" s="72" t="str">
        <ns0:f>IF(E60="","",ROUND(E60*(1+IF(F60="",0,F60)),2))</ns0:f>
        <ns0:v/>
      </ns0:c>
      <ns0:c r="H60" s="68" t="n"/>
    </ns0:row>
    <ns0:row r="61" ht="32" customHeight="1" s="59">
      <ns0:c r="A61" s="68" t="n"/>
      <ns0:c r="B61" s="68" t="n"/>
      <ns0:c r="C61" s="68" t="n"/>
      <ns0:c r="D61" s="69" t="n"/>
      <ns0:c r="E61" s="73" t="str">
        <ns0:f>IF(OR(C61="",D61=""),"",ROUND(C61*D61,2))</ns0:f>
        <ns0:v/>
      </ns0:c>
      <ns0:c r="F61" s="70" t="n"/>
      <ns0:c r="G61" s="73" t="str">
        <ns0:f>IF(E61="","",ROUND(E61*(1+IF(F61="",0,F61)),2))</ns0:f>
        <ns0:v/>
      </ns0:c>
      <ns0:c r="H61" s="68" t="n"/>
    </ns0:row>
    <ns0:row r="62" ht="32" customHeight="1" s="59">
      <ns0:c r="A62" s="68" t="n"/>
      <ns0:c r="B62" s="68" t="n"/>
      <ns0:c r="C62" s="68" t="n"/>
      <ns0:c r="D62" s="69" t="n"/>
      <ns0:c r="E62" s="72" t="str">
        <ns0:f>IF(OR(C62="",D62=""),"",ROUND(C62*D62,2))</ns0:f>
        <ns0:v/>
      </ns0:c>
      <ns0:c r="F62" s="70" t="n"/>
      <ns0:c r="G62" s="72" t="str">
        <ns0:f>IF(E62="","",ROUND(E62*(1+IF(F62="",0,F62)),2))</ns0:f>
        <ns0:v/>
      </ns0:c>
      <ns0:c r="H62" s="68" t="n"/>
    </ns0:row>
    <ns0:row r="63" ht="32" customHeight="1" s="59">
      <ns0:c r="A63" s="68" t="n"/>
      <ns0:c r="B63" s="68" t="n"/>
      <ns0:c r="C63" s="68" t="n"/>
      <ns0:c r="D63" s="69" t="n"/>
      <ns0:c r="E63" s="73" t="str">
        <ns0:f>IF(OR(C63="",D63=""),"",ROUND(C63*D63,2))</ns0:f>
        <ns0:v/>
      </ns0:c>
      <ns0:c r="F63" s="70" t="n"/>
      <ns0:c r="G63" s="73" t="str">
        <ns0:f>IF(E63="","",ROUND(E63*(1+IF(F63="",0,F63)),2))</ns0:f>
        <ns0:v/>
      </ns0:c>
      <ns0:c r="H63" s="68" t="n"/>
    </ns0:row>
    <ns0:row r="64" ht="32" customHeight="1" s="59">
      <ns0:c r="A64" s="68" t="n"/>
      <ns0:c r="B64" s="68" t="n"/>
      <ns0:c r="C64" s="68" t="n"/>
      <ns0:c r="D64" s="69" t="n"/>
      <ns0:c r="E64" s="72" t="str">
        <ns0:f>IF(OR(C64="",D64=""),"",ROUND(C64*D64,2))</ns0:f>
        <ns0:v/>
      </ns0:c>
      <ns0:c r="F64" s="70" t="n"/>
      <ns0:c r="G64" s="72" t="str">
        <ns0:f>IF(E64="","",ROUND(E64*(1+IF(F64="",0,F64)),2))</ns0:f>
        <ns0:v/>
      </ns0:c>
      <ns0:c r="H64" s="68" t="n"/>
    </ns0:row>
    <ns0:row r="65" ht="32" customHeight="1" s="59">
      <ns0:c r="A65" s="68" t="n"/>
      <ns0:c r="B65" s="68" t="n"/>
      <ns0:c r="C65" s="68" t="n"/>
      <ns0:c r="D65" s="69" t="n"/>
      <ns0:c r="E65" s="73" t="str">
        <ns0:f>IF(OR(C65="",D65=""),"",ROUND(C65*D65,2))</ns0:f>
        <ns0:v/>
      </ns0:c>
      <ns0:c r="F65" s="70" t="n"/>
      <ns0:c r="G65" s="73" t="str">
        <ns0:f>IF(E65="","",ROUND(E65*(1+IF(F65="",0,F65)),2))</ns0:f>
        <ns0:v/>
      </ns0:c>
      <ns0:c r="H65" s="68" t="n"/>
    </ns0:row>
    <ns0:row r="66" ht="32" customHeight="1" s="59">
      <ns0:c r="A66" s="68" t="n"/>
      <ns0:c r="B66" s="68" t="n"/>
      <ns0:c r="C66" s="68" t="n"/>
      <ns0:c r="D66" s="69" t="n"/>
      <ns0:c r="E66" s="72" t="str">
        <ns0:f>IF(OR(C66="",D66=""),"",ROUND(C66*D66,2))</ns0:f>
        <ns0:v/>
      </ns0:c>
      <ns0:c r="F66" s="70" t="n"/>
      <ns0:c r="G66" s="72" t="str">
        <ns0:f>IF(E66="","",ROUND(E66*(1+IF(F66="",0,F66)),2))</ns0:f>
        <ns0:v/>
      </ns0:c>
      <ns0:c r="H66" s="68" t="n"/>
    </ns0:row>
    <ns0:row r="67" ht="32" customHeight="1" s="59">
      <ns0:c r="A67" s="68" t="n"/>
      <ns0:c r="B67" s="68" t="n"/>
      <ns0:c r="C67" s="68" t="n"/>
      <ns0:c r="D67" s="69" t="n"/>
      <ns0:c r="E67" s="73" t="str">
        <ns0:f>IF(OR(C67="",D67=""),"",ROUND(C67*D67,2))</ns0:f>
        <ns0:v/>
      </ns0:c>
      <ns0:c r="F67" s="70" t="n"/>
      <ns0:c r="G67" s="73" t="str">
        <ns0:f>IF(E67="","",ROUND(E67*(1+IF(F67="",0,F67)),2))</ns0:f>
        <ns0:v/>
      </ns0:c>
      <ns0:c r="H67" s="68" t="n"/>
    </ns0:row>
    <ns0:row r="68" ht="32" customHeight="1" s="59">
      <ns0:c r="A68" s="68" t="n"/>
      <ns0:c r="B68" s="68" t="n"/>
      <ns0:c r="C68" s="68" t="n"/>
      <ns0:c r="D68" s="69" t="n"/>
      <ns0:c r="E68" s="72" t="str">
        <ns0:f>IF(OR(C68="",D68=""),"",ROUND(C68*D68,2))</ns0:f>
        <ns0:v/>
      </ns0:c>
      <ns0:c r="F68" s="70" t="n"/>
      <ns0:c r="G68" s="72" t="str">
        <ns0:f>IF(E68="","",ROUND(E68*(1+IF(F68="",0,F68)),2))</ns0:f>
        <ns0:v/>
      </ns0:c>
      <ns0:c r="H68" s="68" t="n"/>
    </ns0:row>
    <ns0:row r="69" ht="32" customHeight="1" s="59">
      <ns0:c r="A69" s="68" t="n"/>
      <ns0:c r="B69" s="68" t="n"/>
      <ns0:c r="C69" s="68" t="n"/>
      <ns0:c r="D69" s="69" t="n"/>
      <ns0:c r="E69" s="73" t="str">
        <ns0:f>IF(OR(C69="",D69=""),"",ROUND(C69*D69,2))</ns0:f>
        <ns0:v/>
      </ns0:c>
      <ns0:c r="F69" s="70" t="n"/>
      <ns0:c r="G69" s="73" t="str">
        <ns0:f>IF(E69="","",ROUND(E69*(1+IF(F69="",0,F69)),2))</ns0:f>
        <ns0:v/>
      </ns0:c>
      <ns0:c r="H69" s="68" t="n"/>
    </ns0:row>
    <ns0:row r="70" ht="32" customHeight="1" s="59">
      <ns0:c r="A70" s="68" t="n"/>
      <ns0:c r="B70" s="68" t="n"/>
      <ns0:c r="C70" s="68" t="n"/>
      <ns0:c r="D70" s="69" t="n"/>
      <ns0:c r="E70" s="72" t="str">
        <ns0:f>IF(OR(C70="",D70=""),"",ROUND(C70*D70,2))</ns0:f>
        <ns0:v/>
      </ns0:c>
      <ns0:c r="F70" s="70" t="n"/>
      <ns0:c r="G70" s="72" t="str">
        <ns0:f>IF(E70="","",ROUND(E70*(1+IF(F70="",0,F70)),2))</ns0:f>
        <ns0:v/>
      </ns0:c>
      <ns0:c r="H70" s="68" t="n"/>
    </ns0:row>
    <ns0:row r="71" ht="32" customHeight="1" s="59">
      <ns0:c r="A71" s="68" t="n"/>
      <ns0:c r="B71" s="68" t="n"/>
      <ns0:c r="C71" s="68" t="n"/>
      <ns0:c r="D71" s="69" t="n"/>
      <ns0:c r="E71" s="73" t="str">
        <ns0:f>IF(OR(C71="",D71=""),"",ROUND(C71*D71,2))</ns0:f>
        <ns0:v/>
      </ns0:c>
      <ns0:c r="F71" s="70" t="n"/>
      <ns0:c r="G71" s="73" t="str">
        <ns0:f>IF(E71="","",ROUND(E71*(1+IF(F71="",0,F71)),2))</ns0:f>
        <ns0:v/>
      </ns0:c>
      <ns0:c r="H71" s="68" t="n"/>
    </ns0:row>
    <ns0:row r="72" ht="32" customHeight="1" s="59">
      <ns0:c r="A72" s="68" t="n"/>
      <ns0:c r="B72" s="68" t="n"/>
      <ns0:c r="C72" s="68" t="n"/>
      <ns0:c r="D72" s="69" t="n"/>
      <ns0:c r="E72" s="72" t="str">
        <ns0:f>IF(OR(C72="",D72=""),"",ROUND(C72*D72,2))</ns0:f>
        <ns0:v/>
      </ns0:c>
      <ns0:c r="F72" s="70" t="n"/>
      <ns0:c r="G72" s="72" t="str">
        <ns0:f>IF(E72="","",ROUND(E72*(1+IF(F72="",0,F72)),2))</ns0:f>
        <ns0:v/>
      </ns0:c>
      <ns0:c r="H72" s="68" t="n"/>
    </ns0:row>
    <ns0:row r="73" ht="32" customHeight="1" s="59">
      <ns0:c r="A73" s="68" t="n"/>
      <ns0:c r="B73" s="68" t="n"/>
      <ns0:c r="C73" s="68" t="n"/>
      <ns0:c r="D73" s="69" t="n"/>
      <ns0:c r="E73" s="73" t="str">
        <ns0:f>IF(OR(C73="",D73=""),"",ROUND(C73*D73,2))</ns0:f>
        <ns0:v/>
      </ns0:c>
      <ns0:c r="F73" s="70" t="n"/>
      <ns0:c r="G73" s="73" t="str">
        <ns0:f>IF(E73="","",ROUND(E73*(1+IF(F73="",0,F73)),2))</ns0:f>
        <ns0:v/>
      </ns0:c>
      <ns0:c r="H73" s="68" t="n"/>
    </ns0:row>
    <ns0:row r="74" ht="32" customHeight="1" s="59">
      <ns0:c r="A74" s="68" t="n"/>
      <ns0:c r="B74" s="68" t="n"/>
      <ns0:c r="C74" s="68" t="n"/>
      <ns0:c r="D74" s="69" t="n"/>
      <ns0:c r="E74" s="72" t="str">
        <ns0:f>IF(OR(C74="",D74=""),"",ROUND(C74*D74,2))</ns0:f>
        <ns0:v/>
      </ns0:c>
      <ns0:c r="F74" s="70" t="n"/>
      <ns0:c r="G74" s="72" t="str">
        <ns0:f>IF(E74="","",ROUND(E74*(1+IF(F74="",0,F74)),2))</ns0:f>
        <ns0:v/>
      </ns0:c>
      <ns0:c r="H74" s="68" t="n"/>
    </ns0:row>
    <ns0:row r="75" ht="32" customHeight="1" s="59">
      <ns0:c r="A75" s="68" t="n"/>
      <ns0:c r="B75" s="68" t="n"/>
      <ns0:c r="C75" s="68" t="n"/>
      <ns0:c r="D75" s="69" t="n"/>
      <ns0:c r="E75" s="73" t="str">
        <ns0:f>IF(OR(C75="",D75=""),"",ROUND(C75*D75,2))</ns0:f>
        <ns0:v/>
      </ns0:c>
      <ns0:c r="F75" s="70" t="n"/>
      <ns0:c r="G75" s="73" t="str">
        <ns0:f>IF(E75="","",ROUND(E75*(1+IF(F75="",0,F75)),2))</ns0:f>
        <ns0:v/>
      </ns0:c>
      <ns0:c r="H75" s="68" t="n"/>
    </ns0:row>
    <ns0:row r="76" ht="32" customHeight="1" s="59">
      <ns0:c r="A76" s="68" t="n"/>
      <ns0:c r="B76" s="68" t="n"/>
      <ns0:c r="C76" s="68" t="n"/>
      <ns0:c r="D76" s="69" t="n"/>
      <ns0:c r="E76" s="72" t="str">
        <ns0:f>IF(OR(C76="",D76=""),"",ROUND(C76*D76,2))</ns0:f>
        <ns0:v/>
      </ns0:c>
      <ns0:c r="F76" s="70" t="n"/>
      <ns0:c r="G76" s="72" t="str">
        <ns0:f>IF(E76="","",ROUND(E76*(1+IF(F76="",0,F76)),2))</ns0:f>
        <ns0:v/>
      </ns0:c>
      <ns0:c r="H76" s="68" t="n"/>
    </ns0:row>
    <ns0:row r="77" ht="32" customHeight="1" s="59">
      <ns0:c r="A77" s="68" t="n"/>
      <ns0:c r="B77" s="68" t="n"/>
      <ns0:c r="C77" s="68" t="n"/>
      <ns0:c r="D77" s="69" t="n"/>
      <ns0:c r="E77" s="73" t="str">
        <ns0:f>IF(OR(C77="",D77=""),"",ROUND(C77*D77,2))</ns0:f>
        <ns0:v/>
      </ns0:c>
      <ns0:c r="F77" s="70" t="n"/>
      <ns0:c r="G77" s="73" t="str">
        <ns0:f>IF(E77="","",ROUND(E77*(1+IF(F77="",0,F77)),2))</ns0:f>
        <ns0:v/>
      </ns0:c>
      <ns0:c r="H77" s="68" t="n"/>
    </ns0:row>
    <ns0:row r="78" ht="32" customHeight="1" s="59">
      <ns0:c r="A78" s="68" t="n"/>
      <ns0:c r="B78" s="68" t="n"/>
      <ns0:c r="C78" s="68" t="n"/>
      <ns0:c r="D78" s="69" t="n"/>
      <ns0:c r="E78" s="72" t="str">
        <ns0:f>IF(OR(C78="",D78=""),"",ROUND(C78*D78,2))</ns0:f>
        <ns0:v/>
      </ns0:c>
      <ns0:c r="F78" s="70" t="n"/>
      <ns0:c r="G78" s="72" t="str">
        <ns0:f>IF(E78="","",ROUND(E78*(1+IF(F78="",0,F78)),2))</ns0:f>
        <ns0:v/>
      </ns0:c>
      <ns0:c r="H78" s="68" t="n"/>
    </ns0:row>
    <ns0:row r="79" ht="32" customHeight="1" s="59">
      <ns0:c r="A79" s="68" t="n"/>
      <ns0:c r="B79" s="68" t="n"/>
      <ns0:c r="C79" s="68" t="n"/>
      <ns0:c r="D79" s="69" t="n"/>
      <ns0:c r="E79" s="73" t="str">
        <ns0:f>IF(OR(C79="",D79=""),"",ROUND(C79*D79,2))</ns0:f>
        <ns0:v/>
      </ns0:c>
      <ns0:c r="F79" s="70" t="n"/>
      <ns0:c r="G79" s="73" t="str">
        <ns0:f>IF(E79="","",ROUND(E79*(1+IF(F79="",0,F79)),2))</ns0:f>
        <ns0:v/>
      </ns0:c>
      <ns0:c r="H79" s="68" t="n"/>
    </ns0:row>
    <ns0:row r="80" ht="32" customHeight="1" s="59">
      <ns0:c r="A80" s="68" t="n"/>
      <ns0:c r="B80" s="68" t="n"/>
      <ns0:c r="C80" s="68" t="n"/>
      <ns0:c r="D80" s="69" t="n"/>
      <ns0:c r="E80" s="72" t="str">
        <ns0:f>IF(OR(C80="",D80=""),"",ROUND(C80*D80,2))</ns0:f>
        <ns0:v/>
      </ns0:c>
      <ns0:c r="F80" s="70" t="n"/>
      <ns0:c r="G80" s="72" t="str">
        <ns0:f>IF(E80="","",ROUND(E80*(1+IF(F80="",0,F80)),2))</ns0:f>
        <ns0:v/>
      </ns0:c>
      <ns0:c r="H80" s="68" t="n"/>
    </ns0:row>
    <ns0:row r="81" ht="32" customHeight="1" s="59">
      <ns0:c r="A81" s="68" t="n"/>
      <ns0:c r="B81" s="68" t="n"/>
      <ns0:c r="C81" s="68" t="n"/>
      <ns0:c r="D81" s="69" t="n"/>
      <ns0:c r="E81" s="73" t="str">
        <ns0:f>IF(OR(C81="",D81=""),"",ROUND(C81*D81,2))</ns0:f>
        <ns0:v/>
      </ns0:c>
      <ns0:c r="F81" s="70" t="n"/>
      <ns0:c r="G81" s="73" t="str">
        <ns0:f>IF(E81="","",ROUND(E81*(1+IF(F81="",0,F81)),2))</ns0:f>
        <ns0:v/>
      </ns0:c>
      <ns0:c r="H81" s="68" t="n"/>
    </ns0:row>
    <ns0:row r="82" ht="32" customHeight="1" s="59">
      <ns0:c r="A82" s="68" t="n"/>
      <ns0:c r="B82" s="68" t="n"/>
      <ns0:c r="C82" s="68" t="n"/>
      <ns0:c r="D82" s="69" t="n"/>
      <ns0:c r="E82" s="72" t="str">
        <ns0:f>IF(OR(C82="",D82=""),"",ROUND(C82*D82,2))</ns0:f>
        <ns0:v/>
      </ns0:c>
      <ns0:c r="F82" s="70" t="n"/>
      <ns0:c r="G82" s="72" t="str">
        <ns0:f>IF(E82="","",ROUND(E82*(1+IF(F82="",0,F82)),2))</ns0:f>
        <ns0:v/>
      </ns0:c>
      <ns0:c r="H82" s="68" t="n"/>
    </ns0:row>
    <ns0:row r="83" ht="32" customHeight="1" s="59">
      <ns0:c r="A83" s="68" t="n"/>
      <ns0:c r="B83" s="68" t="n"/>
      <ns0:c r="C83" s="68" t="n"/>
      <ns0:c r="D83" s="69" t="n"/>
      <ns0:c r="E83" s="73" t="str">
        <ns0:f>IF(OR(C83="",D83=""),"",ROUND(C83*D83,2))</ns0:f>
        <ns0:v/>
      </ns0:c>
      <ns0:c r="F83" s="70" t="n"/>
      <ns0:c r="G83" s="73" t="str">
        <ns0:f>IF(E83="","",ROUND(E83*(1+IF(F83="",0,F83)),2))</ns0:f>
        <ns0:v/>
      </ns0:c>
      <ns0:c r="H83" s="68" t="n"/>
    </ns0:row>
    <ns0:row r="84" ht="32" customHeight="1" s="59">
      <ns0:c r="A84" s="68" t="n"/>
      <ns0:c r="B84" s="68" t="n"/>
      <ns0:c r="C84" s="68" t="n"/>
      <ns0:c r="D84" s="69" t="n"/>
      <ns0:c r="E84" s="72" t="str">
        <ns0:f>IF(OR(C84="",D84=""),"",ROUND(C84*D84,2))</ns0:f>
        <ns0:v/>
      </ns0:c>
      <ns0:c r="F84" s="70" t="n"/>
      <ns0:c r="G84" s="72" t="str">
        <ns0:f>IF(E84="","",ROUND(E84*(1+IF(F84="",0,F84)),2))</ns0:f>
        <ns0:v/>
      </ns0:c>
      <ns0:c r="H84" s="68" t="n"/>
    </ns0:row>
    <ns0:row r="85" ht="32" customHeight="1" s="59">
      <ns0:c r="A85" s="68" t="n"/>
      <ns0:c r="B85" s="68" t="n"/>
      <ns0:c r="C85" s="68" t="n"/>
      <ns0:c r="D85" s="69" t="n"/>
      <ns0:c r="E85" s="73" t="str">
        <ns0:f>IF(OR(C85="",D85=""),"",ROUND(C85*D85,2))</ns0:f>
        <ns0:v/>
      </ns0:c>
      <ns0:c r="F85" s="70" t="n"/>
      <ns0:c r="G85" s="73" t="str">
        <ns0:f>IF(E85="","",ROUND(E85*(1+IF(F85="",0,F85)),2))</ns0:f>
        <ns0:v/>
      </ns0:c>
      <ns0:c r="H85" s="68" t="n"/>
    </ns0:row>
    <ns0:row r="86" ht="32" customHeight="1" s="59">
      <ns0:c r="A86" s="68" t="n"/>
      <ns0:c r="B86" s="68" t="n"/>
      <ns0:c r="C86" s="68" t="n"/>
      <ns0:c r="D86" s="69" t="n"/>
      <ns0:c r="E86" s="72" t="str">
        <ns0:f>IF(OR(C86="",D86=""),"",ROUND(C86*D86,2))</ns0:f>
        <ns0:v/>
      </ns0:c>
      <ns0:c r="F86" s="70" t="n"/>
      <ns0:c r="G86" s="72" t="str">
        <ns0:f>IF(E86="","",ROUND(E86*(1+IF(F86="",0,F86)),2))</ns0:f>
        <ns0:v/>
      </ns0:c>
      <ns0:c r="H86" s="68" t="n"/>
    </ns0:row>
    <ns0:row r="87" ht="32" customHeight="1" s="59">
      <ns0:c r="A87" s="68" t="n"/>
      <ns0:c r="B87" s="68" t="n"/>
      <ns0:c r="C87" s="68" t="n"/>
      <ns0:c r="D87" s="69" t="n"/>
      <ns0:c r="E87" s="73" t="str">
        <ns0:f>IF(OR(C87="",D87=""),"",ROUND(C87*D87,2))</ns0:f>
        <ns0:v/>
      </ns0:c>
      <ns0:c r="F87" s="70" t="n"/>
      <ns0:c r="G87" s="73" t="str">
        <ns0:f>IF(E87="","",ROUND(E87*(1+IF(F87="",0,F87)),2))</ns0:f>
        <ns0:v/>
      </ns0:c>
      <ns0:c r="H87" s="68" t="n"/>
    </ns0:row>
    <ns0:row r="88" ht="32" customHeight="1" s="59">
      <ns0:c r="A88" s="68" t="n"/>
      <ns0:c r="B88" s="68" t="n"/>
      <ns0:c r="C88" s="68" t="n"/>
      <ns0:c r="D88" s="69" t="n"/>
      <ns0:c r="E88" s="72" t="str">
        <ns0:f>IF(OR(C88="",D88=""),"",ROUND(C88*D88,2))</ns0:f>
        <ns0:v/>
      </ns0:c>
      <ns0:c r="F88" s="70" t="n"/>
      <ns0:c r="G88" s="72" t="str">
        <ns0:f>IF(E88="","",ROUND(E88*(1+IF(F88="",0,F88)),2))</ns0:f>
        <ns0:v/>
      </ns0:c>
      <ns0:c r="H88" s="68" t="n"/>
    </ns0:row>
    <ns0:row r="89" ht="32" customHeight="1" s="59">
      <ns0:c r="A89" s="68" t="n"/>
      <ns0:c r="B89" s="68" t="n"/>
      <ns0:c r="C89" s="68" t="n"/>
      <ns0:c r="D89" s="69" t="n"/>
      <ns0:c r="E89" s="73" t="str">
        <ns0:f>IF(OR(C89="",D89=""),"",ROUND(C89*D89,2))</ns0:f>
        <ns0:v/>
      </ns0:c>
      <ns0:c r="F89" s="70" t="n"/>
      <ns0:c r="G89" s="73" t="str">
        <ns0:f>IF(E89="","",ROUND(E89*(1+IF(F89="",0,F89)),2))</ns0:f>
        <ns0:v/>
      </ns0:c>
      <ns0:c r="H89" s="68" t="n"/>
    </ns0:row>
    <ns0:row r="90" ht="32" customHeight="1" s="59">
      <ns0:c r="A90" s="68" t="n"/>
      <ns0:c r="B90" s="68" t="n"/>
      <ns0:c r="C90" s="68" t="n"/>
      <ns0:c r="D90" s="69" t="n"/>
      <ns0:c r="E90" s="72" t="str">
        <ns0:f>IF(OR(C90="",D90=""),"",ROUND(C90*D90,2))</ns0:f>
        <ns0:v/>
      </ns0:c>
      <ns0:c r="F90" s="70" t="n"/>
      <ns0:c r="G90" s="72" t="str">
        <ns0:f>IF(E90="","",ROUND(E90*(1+IF(F90="",0,F90)),2))</ns0:f>
        <ns0:v/>
      </ns0:c>
      <ns0:c r="H90" s="68" t="n"/>
    </ns0:row>
    <ns0:row r="91" ht="32" customHeight="1" s="59">
      <ns0:c r="A91" s="68" t="n"/>
      <ns0:c r="B91" s="68" t="n"/>
      <ns0:c r="C91" s="68" t="n"/>
      <ns0:c r="D91" s="69" t="n"/>
      <ns0:c r="E91" s="73" t="str">
        <ns0:f>IF(OR(C91="",D91=""),"",ROUND(C91*D91,2))</ns0:f>
        <ns0:v/>
      </ns0:c>
      <ns0:c r="F91" s="70" t="n"/>
      <ns0:c r="G91" s="73" t="str">
        <ns0:f>IF(E91="","",ROUND(E91*(1+IF(F91="",0,F91)),2))</ns0:f>
        <ns0:v/>
      </ns0:c>
      <ns0:c r="H91" s="68" t="n"/>
    </ns0:row>
    <ns0:row r="92" ht="32" customHeight="1" s="59">
      <ns0:c r="A92" s="68" t="n"/>
      <ns0:c r="B92" s="68" t="n"/>
      <ns0:c r="C92" s="68" t="n"/>
      <ns0:c r="D92" s="69" t="n"/>
      <ns0:c r="E92" s="72" t="str">
        <ns0:f>IF(OR(C92="",D92=""),"",ROUND(C92*D92,2))</ns0:f>
        <ns0:v/>
      </ns0:c>
      <ns0:c r="F92" s="70" t="n"/>
      <ns0:c r="G92" s="72" t="str">
        <ns0:f>IF(E92="","",ROUND(E92*(1+IF(F92="",0,F92)),2))</ns0:f>
        <ns0:v/>
      </ns0:c>
      <ns0:c r="H92" s="68" t="n"/>
    </ns0:row>
    <ns0:row r="93" ht="32" customHeight="1" s="59">
      <ns0:c r="A93" s="68" t="n"/>
      <ns0:c r="B93" s="68" t="n"/>
      <ns0:c r="C93" s="68" t="n"/>
      <ns0:c r="D93" s="69" t="n"/>
      <ns0:c r="E93" s="73" t="str">
        <ns0:f>IF(OR(C93="",D93=""),"",ROUND(C93*D93,2))</ns0:f>
        <ns0:v/>
      </ns0:c>
      <ns0:c r="F93" s="70" t="n"/>
      <ns0:c r="G93" s="73" t="str">
        <ns0:f>IF(E93="","",ROUND(E93*(1+IF(F93="",0,F93)),2))</ns0:f>
        <ns0:v/>
      </ns0:c>
      <ns0:c r="H93" s="68" t="n"/>
    </ns0:row>
    <ns0:row r="94" ht="32" customHeight="1" s="59">
      <ns0:c r="A94" s="68" t="n"/>
      <ns0:c r="B94" s="68" t="n"/>
      <ns0:c r="C94" s="68" t="n"/>
      <ns0:c r="D94" s="69" t="n"/>
      <ns0:c r="E94" s="72" t="str">
        <ns0:f>IF(OR(C94="",D94=""),"",ROUND(C94*D94,2))</ns0:f>
        <ns0:v/>
      </ns0:c>
      <ns0:c r="F94" s="70" t="n"/>
      <ns0:c r="G94" s="72" t="str">
        <ns0:f>IF(E94="","",ROUND(E94*(1+IF(F94="",0,F94)),2))</ns0:f>
        <ns0:v/>
      </ns0:c>
      <ns0:c r="H94" s="68" t="n"/>
    </ns0:row>
    <ns0:row r="95" ht="32" customHeight="1" s="59">
      <ns0:c r="A95" s="68" t="n"/>
      <ns0:c r="B95" s="68" t="n"/>
      <ns0:c r="C95" s="68" t="n"/>
      <ns0:c r="D95" s="69" t="n"/>
      <ns0:c r="E95" s="73" t="str">
        <ns0:f>IF(OR(C95="",D95=""),"",ROUND(C95*D95,2))</ns0:f>
        <ns0:v/>
      </ns0:c>
      <ns0:c r="F95" s="70" t="n"/>
      <ns0:c r="G95" s="73" t="str">
        <ns0:f>IF(E95="","",ROUND(E95*(1+IF(F95="",0,F95)),2))</ns0:f>
        <ns0:v/>
      </ns0:c>
      <ns0:c r="H95" s="68" t="n"/>
    </ns0:row>
    <ns0:row r="96" ht="32" customHeight="1" s="59">
      <ns0:c r="A96" s="68" t="n"/>
      <ns0:c r="B96" s="68" t="n"/>
      <ns0:c r="C96" s="68" t="n"/>
      <ns0:c r="D96" s="69" t="n"/>
      <ns0:c r="E96" s="72" t="str">
        <ns0:f>IF(OR(C96="",D96=""),"",ROUND(C96*D96,2))</ns0:f>
        <ns0:v/>
      </ns0:c>
      <ns0:c r="F96" s="70" t="n"/>
      <ns0:c r="G96" s="72" t="str">
        <ns0:f>IF(E96="","",ROUND(E96*(1+IF(F96="",0,F96)),2))</ns0:f>
        <ns0:v/>
      </ns0:c>
      <ns0:c r="H96" s="68" t="n"/>
    </ns0:row>
    <ns0:row r="97" ht="32" customHeight="1" s="59">
      <ns0:c r="A97" s="68" t="n"/>
      <ns0:c r="B97" s="68" t="n"/>
      <ns0:c r="C97" s="68" t="n"/>
      <ns0:c r="D97" s="69" t="n"/>
      <ns0:c r="E97" s="73" t="str">
        <ns0:f>IF(OR(C97="",D97=""),"",ROUND(C97*D97,2))</ns0:f>
        <ns0:v/>
      </ns0:c>
      <ns0:c r="F97" s="70" t="n"/>
      <ns0:c r="G97" s="73" t="str">
        <ns0:f>IF(E97="","",ROUND(E97*(1+IF(F97="",0,F97)),2))</ns0:f>
        <ns0:v/>
      </ns0:c>
      <ns0:c r="H97" s="68" t="n"/>
    </ns0:row>
    <ns0:row r="98" ht="32" customHeight="1" s="59">
      <ns0:c r="A98" s="68" t="n"/>
      <ns0:c r="B98" s="68" t="n"/>
      <ns0:c r="C98" s="68" t="n"/>
      <ns0:c r="D98" s="69" t="n"/>
      <ns0:c r="E98" s="72" t="str">
        <ns0:f>IF(OR(C98="",D98=""),"",ROUND(C98*D98,2))</ns0:f>
        <ns0:v/>
      </ns0:c>
      <ns0:c r="F98" s="70" t="n"/>
      <ns0:c r="G98" s="72" t="str">
        <ns0:f>IF(E98="","",ROUND(E98*(1+IF(F98="",0,F98)),2))</ns0:f>
        <ns0:v/>
      </ns0:c>
      <ns0:c r="H98" s="68" t="n"/>
    </ns0:row>
    <ns0:row r="99" ht="32" customHeight="1" s="59">
      <ns0:c r="A99" s="68" t="n"/>
      <ns0:c r="B99" s="68" t="n"/>
      <ns0:c r="C99" s="68" t="n"/>
      <ns0:c r="D99" s="69" t="n"/>
      <ns0:c r="E99" s="73" t="str">
        <ns0:f>IF(OR(C99="",D99=""),"",ROUND(C99*D99,2))</ns0:f>
        <ns0:v/>
      </ns0:c>
      <ns0:c r="F99" s="70" t="n"/>
      <ns0:c r="G99" s="73" t="str">
        <ns0:f>IF(E99="","",ROUND(E99*(1+IF(F99="",0,F99)),2))</ns0:f>
        <ns0:v/>
      </ns0:c>
      <ns0:c r="H99" s="68" t="n"/>
    </ns0:row>
    <ns0:row r="100" ht="32" customHeight="1" s="59">
      <ns0:c r="A100" s="68" t="n"/>
      <ns0:c r="B100" s="68" t="n"/>
      <ns0:c r="C100" s="68" t="n"/>
      <ns0:c r="D100" s="69" t="n"/>
      <ns0:c r="E100" s="72" t="str">
        <ns0:f>IF(OR(C100="",D100=""),"",ROUND(C100*D100,2))</ns0:f>
        <ns0:v/>
      </ns0:c>
      <ns0:c r="F100" s="70" t="n"/>
      <ns0:c r="G100" s="72" t="str">
        <ns0:f>IF(E100="","",ROUND(E100*(1+IF(F100="",0,F100)),2))</ns0:f>
        <ns0:v/>
      </ns0:c>
      <ns0:c r="H100" s="68" t="n"/>
    </ns0:row>
    <ns0:row r="101" ht="32" customHeight="1" s="59">
      <ns0:c r="A101" s="68" t="n"/>
      <ns0:c r="B101" s="68" t="n"/>
      <ns0:c r="C101" s="68" t="n"/>
      <ns0:c r="D101" s="69" t="n"/>
      <ns0:c r="E101" s="73" t="str">
        <ns0:f>IF(OR(C101="",D101=""),"",ROUND(C101*D101,2))</ns0:f>
        <ns0:v/>
      </ns0:c>
      <ns0:c r="F101" s="70" t="n"/>
      <ns0:c r="G101" s="73" t="str">
        <ns0:f>IF(E101="","",ROUND(E101*(1+IF(F101="",0,F101)),2))</ns0:f>
        <ns0:v/>
      </ns0:c>
      <ns0:c r="H101" s="68" t="n"/>
    </ns0:row>
    <ns0:row r="102" ht="32" customHeight="1" s="59">
      <ns0:c r="A102" s="68" t="n"/>
      <ns0:c r="B102" s="68" t="n"/>
      <ns0:c r="C102" s="68" t="n"/>
      <ns0:c r="D102" s="69" t="n"/>
      <ns0:c r="E102" s="72" t="str">
        <ns0:f>IF(OR(C102="",D102=""),"",ROUND(C102*D102,2))</ns0:f>
        <ns0:v/>
      </ns0:c>
      <ns0:c r="F102" s="70" t="n"/>
      <ns0:c r="G102" s="72" t="str">
        <ns0:f>IF(E102="","",ROUND(E102*(1+IF(F102="",0,F102)),2))</ns0:f>
        <ns0:v/>
      </ns0:c>
      <ns0:c r="H102" s="68" t="n"/>
    </ns0:row>
    <ns0:row r="103" ht="32" customHeight="1" s="59">
      <ns0:c r="A103" s="68" t="n"/>
      <ns0:c r="B103" s="68" t="n"/>
      <ns0:c r="C103" s="68" t="n"/>
      <ns0:c r="D103" s="69" t="n"/>
      <ns0:c r="E103" s="73" t="str">
        <ns0:f>IF(OR(C103="",D103=""),"",ROUND(C103*D103,2))</ns0:f>
        <ns0:v/>
      </ns0:c>
      <ns0:c r="F103" s="70" t="n"/>
      <ns0:c r="G103" s="73" t="str">
        <ns0:f>IF(E103="","",ROUND(E103*(1+IF(F103="",0,F103)),2))</ns0:f>
        <ns0:v/>
      </ns0:c>
      <ns0:c r="H103" s="68" t="n"/>
    </ns0:row>
  </ns0:sheetData>
  <ns0:sheetProtection selectLockedCells="0" selectUnlockedCells="0" sheet="1" objects="0" insertRows="1" insertHyperlinks="1" autoFilter="0" scenarios="0" formatColumns="1" deleteColumns="1" insertColumns="1" pivotTables="1" deleteRows="1" formatCells="1" formatRows="1" sort="1"/>
  <ns0:autoFilter ref="A3:H103"/>
  <ns0:mergeCells count="1">
    <ns0:mergeCell ref="A1:H1"/>
  </ns0:mergeCells>
  <ns0:dataValidations count="3">
    <ns0:dataValidation sqref="C4:D103" showDropDown="0" showInputMessage="1" showErrorMessage="1" allowBlank="1" errorTitle="Check this entry" error="Use the allowed value. Read the column notes." promptTitle="Input cell" prompt="Enter numbers without currency symbols. Clear unused rows." type="decimal" errorStyle="stop" operator="between">
      <ns0:formula1>0</ns0:formula1>
      <ns0:formula2>1000000000</ns0:formula2>
    </ns0:dataValidation>
    <ns0:dataValidation sqref="F4:F103" showDropDown="0" showInputMessage="1" showErrorMessage="1" allowBlank="1" errorTitle="Check this entry" error="Use the allowed value. Read the column notes." promptTitle="Input cell" prompt="Enter numbers without currency symbols. Clear unused rows." type="decimal" errorStyle="stop" operator="between">
      <ns0:formula1>0</ns0:formula1>
      <ns0:formula2>10</ns0:formula2>
    </ns0:dataValidation>
    <ns0:dataValidation sqref="B4:B103" showDropDown="0" showInputMessage="1" showErrorMessage="1" allowBlank="1" errorTitle="Check this entry" error="Use the allowed value. Read the column notes." promptTitle="Input cell" prompt="Enter numbers without currency symbols. Clear unused rows." type="list" errorStyle="stop" operator="between">
      <ns0:formula1>"Materials,Labor,Equipment,Subcontract,Other"</ns0:formula1>
    </ns0:dataValidation>
  </ns0:dataValidations>
  <ns0:printOptions horizontalCentered="1"/>
  <ns0:pageMargins left="0.7" right="0.7" top="0.75" bottom="0.75" header="0.3" footer="0.3"/>
  <ns0:pageSetup orientation="landscape" paperSize="1" fitToHeight="0" fitToWidth="1"/>
</ns0:worksheet>
</file>

<file path=xl/worksheets/sheet4.xml><?xml version="1.0" encoding="utf-8"?>
<ns0:worksheet xmlns:ns0="http://schemas.openxmlformats.org/spreadsheetml/2006/main">
  <ns0:sheetPr>
    <ns0:tabColor rgb="0016324F"/>
    <ns0:outlinePr summaryBelow="1" summaryRight="1"/>
    <ns0:pageSetUpPr fitToPage="1"/>
  </ns0:sheetPr>
  <ns0:dimension ref="A1:H203"/>
  <ns0:sheetViews>
    <ns0:sheetView showGridLines="0" workbookViewId="0">
      <ns0:pane xSplit="2" ySplit="3" topLeftCell="C4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9" customWidth="1" style="59" min="1" max="1"/>
    <ns0:col width="30" customWidth="1" style="59" min="2" max="2"/>
    <ns0:col width="22" customWidth="1" style="59" min="3" max="3"/>
    <ns0:col width="22" customWidth="1" style="59" min="4" max="4"/>
    <ns0:col width="22" customWidth="1" style="59" min="5" max="5"/>
    <ns0:col width="22" customWidth="1" style="59" min="6" max="6"/>
    <ns0:col width="22" customWidth="1" style="59" min="7" max="7"/>
    <ns0:col width="45" customWidth="1" style="59" min="8" max="8"/>
  </ns0:cols>
  <ns0:sheetData>
    <ns0:row r="1" ht="34" customHeight="1" s="59">
      <ns0:c r="A1" s="63" t="inlineStr">
        <ns0:is>
          <ns0:t>ACTUAL COST LEDGER  |  ENTER EACH COST ONCE</ns0:t>
        </ns0:is>
      </ns0:c>
      <ns0:c r="B1" s="1" t="n"/>
      <ns0:c r="C1" s="1" t="n"/>
      <ns0:c r="D1" s="1" t="n"/>
      <ns0:c r="E1" s="1" t="n"/>
      <ns0:c r="F1" s="1" t="n"/>
      <ns0:c r="G1" s="1" t="n"/>
      <ns0:c r="H1" s="1" t="n"/>
    </ns0:row>
    <ns0:row r="2">
      <ns0:c r="A2" s="64" t="n"/>
      <ns0:c r="B2" s="64" t="n"/>
      <ns0:c r="C2" s="64" t="n"/>
      <ns0:c r="D2" s="64" t="n"/>
      <ns0:c r="E2" s="64" t="n"/>
      <ns0:c r="F2" s="64" t="n"/>
      <ns0:c r="G2" s="64" t="n"/>
      <ns0:c r="H2" s="64" t="n"/>
    </ns0:row>
    <ns0:row r="3" ht="32" customHeight="1" s="59">
      <ns0:c r="A3" s="65" t="inlineStr">
        <ns0:is>
          <ns0:t>DATE</ns0:t>
        </ns0:is>
      </ns0:c>
      <ns0:c r="B3" s="65" t="inlineStr">
        <ns0:is>
          <ns0:t>DESCRIPTION</ns0:t>
        </ns0:is>
      </ns0:c>
      <ns0:c r="C3" s="65" t="inlineStr">
        <ns0:is>
          <ns0:t>CATEGORY</ns0:t>
        </ns0:is>
      </ns0:c>
      <ns0:c r="D3" s="65" t="inlineStr">
        <ns0:is>
          <ns0:t>QTY</ns0:t>
        </ns0:is>
      </ns0:c>
      <ns0:c r="E3" s="65" t="inlineStr">
        <ns0:is>
          <ns0:t>UNIT COST ($)</ns0:t>
        </ns0:is>
      </ns0:c>
      <ns0:c r="F3" s="65" t="inlineStr">
        <ns0:is>
          <ns0:t>ACTUAL COST ($)</ns0:t>
        </ns0:is>
      </ns0:c>
      <ns0:c r="G3" s="65" t="inlineStr">
        <ns0:is>
          <ns0:t>REFERENCE</ns0:t>
        </ns0:is>
      </ns0:c>
      <ns0:c r="H3" s="65" t="inlineStr">
        <ns0:is>
          <ns0:t>BASE / CHANGE</ns0:t>
        </ns0:is>
      </ns0:c>
    </ns0:row>
    <ns0:row r="4" ht="32" customHeight="1" s="59">
      <ns0:c r="A4" s="74" t="n"/>
      <ns0:c r="B4" s="68" t="n"/>
      <ns0:c r="C4" s="68" t="n"/>
      <ns0:c r="D4" s="68" t="n"/>
      <ns0:c r="E4" s="69" t="n"/>
      <ns0:c r="F4" s="72" t="str">
        <ns0:f>IF(OR(D4="",E4=""),"",ROUND(D4*E4,2))</ns0:f>
        <ns0:v/>
      </ns0:c>
      <ns0:c r="G4" s="68" t="n"/>
      <ns0:c r="H4" s="68" t="n"/>
    </ns0:row>
    <ns0:row r="5" ht="32" customHeight="1" s="59">
      <ns0:c r="A5" s="74" t="n"/>
      <ns0:c r="B5" s="68" t="n"/>
      <ns0:c r="C5" s="68" t="n"/>
      <ns0:c r="D5" s="68" t="n"/>
      <ns0:c r="E5" s="69" t="n"/>
      <ns0:c r="F5" s="73" t="str">
        <ns0:f>IF(OR(D5="",E5=""),"",ROUND(D5*E5,2))</ns0:f>
        <ns0:v/>
      </ns0:c>
      <ns0:c r="G5" s="68" t="n"/>
      <ns0:c r="H5" s="68" t="n"/>
    </ns0:row>
    <ns0:row r="6" ht="32" customHeight="1" s="59">
      <ns0:c r="A6" s="74" t="n"/>
      <ns0:c r="B6" s="68" t="n"/>
      <ns0:c r="C6" s="68" t="n"/>
      <ns0:c r="D6" s="68" t="n"/>
      <ns0:c r="E6" s="69" t="n"/>
      <ns0:c r="F6" s="72" t="str">
        <ns0:f>IF(OR(D6="",E6=""),"",ROUND(D6*E6,2))</ns0:f>
        <ns0:v/>
      </ns0:c>
      <ns0:c r="G6" s="68" t="n"/>
      <ns0:c r="H6" s="68" t="n"/>
    </ns0:row>
    <ns0:row r="7" ht="32" customHeight="1" s="59">
      <ns0:c r="A7" s="74" t="n"/>
      <ns0:c r="B7" s="68" t="n"/>
      <ns0:c r="C7" s="68" t="n"/>
      <ns0:c r="D7" s="68" t="n"/>
      <ns0:c r="E7" s="69" t="n"/>
      <ns0:c r="F7" s="73" t="str">
        <ns0:f>IF(OR(D7="",E7=""),"",ROUND(D7*E7,2))</ns0:f>
        <ns0:v/>
      </ns0:c>
      <ns0:c r="G7" s="68" t="n"/>
      <ns0:c r="H7" s="68" t="n"/>
    </ns0:row>
    <ns0:row r="8" ht="32" customHeight="1" s="59">
      <ns0:c r="A8" s="74" t="n"/>
      <ns0:c r="B8" s="68" t="n"/>
      <ns0:c r="C8" s="68" t="n"/>
      <ns0:c r="D8" s="68" t="n"/>
      <ns0:c r="E8" s="69" t="n"/>
      <ns0:c r="F8" s="72" t="str">
        <ns0:f>IF(OR(D8="",E8=""),"",ROUND(D8*E8,2))</ns0:f>
        <ns0:v/>
      </ns0:c>
      <ns0:c r="G8" s="68" t="n"/>
      <ns0:c r="H8" s="68" t="n"/>
    </ns0:row>
    <ns0:row r="9" ht="32" customHeight="1" s="59">
      <ns0:c r="A9" s="74" t="n"/>
      <ns0:c r="B9" s="68" t="n"/>
      <ns0:c r="C9" s="68" t="n"/>
      <ns0:c r="D9" s="68" t="n"/>
      <ns0:c r="E9" s="69" t="n"/>
      <ns0:c r="F9" s="73" t="str">
        <ns0:f>IF(OR(D9="",E9=""),"",ROUND(D9*E9,2))</ns0:f>
        <ns0:v/>
      </ns0:c>
      <ns0:c r="G9" s="68" t="n"/>
      <ns0:c r="H9" s="68" t="n"/>
    </ns0:row>
    <ns0:row r="10" ht="32" customHeight="1" s="59">
      <ns0:c r="A10" s="74" t="n"/>
      <ns0:c r="B10" s="68" t="n"/>
      <ns0:c r="C10" s="68" t="n"/>
      <ns0:c r="D10" s="68" t="n"/>
      <ns0:c r="E10" s="69" t="n"/>
      <ns0:c r="F10" s="72" t="str">
        <ns0:f>IF(OR(D10="",E10=""),"",ROUND(D10*E10,2))</ns0:f>
        <ns0:v/>
      </ns0:c>
      <ns0:c r="G10" s="68" t="n"/>
      <ns0:c r="H10" s="68" t="n"/>
    </ns0:row>
    <ns0:row r="11" ht="32" customHeight="1" s="59">
      <ns0:c r="A11" s="74" t="n"/>
      <ns0:c r="B11" s="68" t="n"/>
      <ns0:c r="C11" s="68" t="n"/>
      <ns0:c r="D11" s="68" t="n"/>
      <ns0:c r="E11" s="69" t="n"/>
      <ns0:c r="F11" s="73" t="str">
        <ns0:f>IF(OR(D11="",E11=""),"",ROUND(D11*E11,2))</ns0:f>
        <ns0:v/>
      </ns0:c>
      <ns0:c r="G11" s="68" t="n"/>
      <ns0:c r="H11" s="68" t="n"/>
    </ns0:row>
    <ns0:row r="12" ht="32" customHeight="1" s="59">
      <ns0:c r="A12" s="74" t="n"/>
      <ns0:c r="B12" s="68" t="n"/>
      <ns0:c r="C12" s="68" t="n"/>
      <ns0:c r="D12" s="68" t="n"/>
      <ns0:c r="E12" s="69" t="n"/>
      <ns0:c r="F12" s="72" t="str">
        <ns0:f>IF(OR(D12="",E12=""),"",ROUND(D12*E12,2))</ns0:f>
        <ns0:v/>
      </ns0:c>
      <ns0:c r="G12" s="68" t="n"/>
      <ns0:c r="H12" s="68" t="n"/>
    </ns0:row>
    <ns0:row r="13" ht="32" customHeight="1" s="59">
      <ns0:c r="A13" s="74" t="n"/>
      <ns0:c r="B13" s="68" t="n"/>
      <ns0:c r="C13" s="68" t="n"/>
      <ns0:c r="D13" s="68" t="n"/>
      <ns0:c r="E13" s="69" t="n"/>
      <ns0:c r="F13" s="73" t="str">
        <ns0:f>IF(OR(D13="",E13=""),"",ROUND(D13*E13,2))</ns0:f>
        <ns0:v/>
      </ns0:c>
      <ns0:c r="G13" s="68" t="n"/>
      <ns0:c r="H13" s="68" t="n"/>
    </ns0:row>
    <ns0:row r="14" ht="32" customHeight="1" s="59">
      <ns0:c r="A14" s="74" t="n"/>
      <ns0:c r="B14" s="68" t="n"/>
      <ns0:c r="C14" s="68" t="n"/>
      <ns0:c r="D14" s="68" t="n"/>
      <ns0:c r="E14" s="69" t="n"/>
      <ns0:c r="F14" s="72" t="str">
        <ns0:f>IF(OR(D14="",E14=""),"",ROUND(D14*E14,2))</ns0:f>
        <ns0:v/>
      </ns0:c>
      <ns0:c r="G14" s="68" t="n"/>
      <ns0:c r="H14" s="68" t="n"/>
    </ns0:row>
    <ns0:row r="15" ht="32" customHeight="1" s="59">
      <ns0:c r="A15" s="74" t="n"/>
      <ns0:c r="B15" s="68" t="n"/>
      <ns0:c r="C15" s="68" t="n"/>
      <ns0:c r="D15" s="68" t="n"/>
      <ns0:c r="E15" s="69" t="n"/>
      <ns0:c r="F15" s="73" t="str">
        <ns0:f>IF(OR(D15="",E15=""),"",ROUND(D15*E15,2))</ns0:f>
        <ns0:v/>
      </ns0:c>
      <ns0:c r="G15" s="68" t="n"/>
      <ns0:c r="H15" s="68" t="n"/>
    </ns0:row>
    <ns0:row r="16" ht="32" customHeight="1" s="59">
      <ns0:c r="A16" s="74" t="n"/>
      <ns0:c r="B16" s="68" t="n"/>
      <ns0:c r="C16" s="68" t="n"/>
      <ns0:c r="D16" s="68" t="n"/>
      <ns0:c r="E16" s="69" t="n"/>
      <ns0:c r="F16" s="72" t="str">
        <ns0:f>IF(OR(D16="",E16=""),"",ROUND(D16*E16,2))</ns0:f>
        <ns0:v/>
      </ns0:c>
      <ns0:c r="G16" s="68" t="n"/>
      <ns0:c r="H16" s="68" t="n"/>
    </ns0:row>
    <ns0:row r="17" ht="32" customHeight="1" s="59">
      <ns0:c r="A17" s="74" t="n"/>
      <ns0:c r="B17" s="68" t="n"/>
      <ns0:c r="C17" s="68" t="n"/>
      <ns0:c r="D17" s="68" t="n"/>
      <ns0:c r="E17" s="69" t="n"/>
      <ns0:c r="F17" s="73" t="str">
        <ns0:f>IF(OR(D17="",E17=""),"",ROUND(D17*E17,2))</ns0:f>
        <ns0:v/>
      </ns0:c>
      <ns0:c r="G17" s="68" t="n"/>
      <ns0:c r="H17" s="68" t="n"/>
    </ns0:row>
    <ns0:row r="18" ht="32" customHeight="1" s="59">
      <ns0:c r="A18" s="74" t="n"/>
      <ns0:c r="B18" s="68" t="n"/>
      <ns0:c r="C18" s="68" t="n"/>
      <ns0:c r="D18" s="68" t="n"/>
      <ns0:c r="E18" s="69" t="n"/>
      <ns0:c r="F18" s="72" t="str">
        <ns0:f>IF(OR(D18="",E18=""),"",ROUND(D18*E18,2))</ns0:f>
        <ns0:v/>
      </ns0:c>
      <ns0:c r="G18" s="68" t="n"/>
      <ns0:c r="H18" s="68" t="n"/>
    </ns0:row>
    <ns0:row r="19" ht="32" customHeight="1" s="59">
      <ns0:c r="A19" s="74" t="n"/>
      <ns0:c r="B19" s="68" t="n"/>
      <ns0:c r="C19" s="68" t="n"/>
      <ns0:c r="D19" s="68" t="n"/>
      <ns0:c r="E19" s="69" t="n"/>
      <ns0:c r="F19" s="73" t="str">
        <ns0:f>IF(OR(D19="",E19=""),"",ROUND(D19*E19,2))</ns0:f>
        <ns0:v/>
      </ns0:c>
      <ns0:c r="G19" s="68" t="n"/>
      <ns0:c r="H19" s="68" t="n"/>
    </ns0:row>
    <ns0:row r="20" ht="32" customHeight="1" s="59">
      <ns0:c r="A20" s="74" t="n"/>
      <ns0:c r="B20" s="68" t="n"/>
      <ns0:c r="C20" s="68" t="n"/>
      <ns0:c r="D20" s="68" t="n"/>
      <ns0:c r="E20" s="69" t="n"/>
      <ns0:c r="F20" s="72" t="str">
        <ns0:f>IF(OR(D20="",E20=""),"",ROUND(D20*E20,2))</ns0:f>
        <ns0:v/>
      </ns0:c>
      <ns0:c r="G20" s="68" t="n"/>
      <ns0:c r="H20" s="68" t="n"/>
    </ns0:row>
    <ns0:row r="21" ht="32" customHeight="1" s="59">
      <ns0:c r="A21" s="74" t="n"/>
      <ns0:c r="B21" s="68" t="n"/>
      <ns0:c r="C21" s="68" t="n"/>
      <ns0:c r="D21" s="68" t="n"/>
      <ns0:c r="E21" s="69" t="n"/>
      <ns0:c r="F21" s="73" t="str">
        <ns0:f>IF(OR(D21="",E21=""),"",ROUND(D21*E21,2))</ns0:f>
        <ns0:v/>
      </ns0:c>
      <ns0:c r="G21" s="68" t="n"/>
      <ns0:c r="H21" s="68" t="n"/>
    </ns0:row>
    <ns0:row r="22" ht="32" customHeight="1" s="59">
      <ns0:c r="A22" s="74" t="n"/>
      <ns0:c r="B22" s="68" t="n"/>
      <ns0:c r="C22" s="68" t="n"/>
      <ns0:c r="D22" s="68" t="n"/>
      <ns0:c r="E22" s="69" t="n"/>
      <ns0:c r="F22" s="72" t="str">
        <ns0:f>IF(OR(D22="",E22=""),"",ROUND(D22*E22,2))</ns0:f>
        <ns0:v/>
      </ns0:c>
      <ns0:c r="G22" s="68" t="n"/>
      <ns0:c r="H22" s="68" t="n"/>
    </ns0:row>
    <ns0:row r="23" ht="32" customHeight="1" s="59">
      <ns0:c r="A23" s="74" t="n"/>
      <ns0:c r="B23" s="68" t="n"/>
      <ns0:c r="C23" s="68" t="n"/>
      <ns0:c r="D23" s="68" t="n"/>
      <ns0:c r="E23" s="69" t="n"/>
      <ns0:c r="F23" s="73" t="str">
        <ns0:f>IF(OR(D23="",E23=""),"",ROUND(D23*E23,2))</ns0:f>
        <ns0:v/>
      </ns0:c>
      <ns0:c r="G23" s="68" t="n"/>
      <ns0:c r="H23" s="68" t="n"/>
    </ns0:row>
    <ns0:row r="24" ht="32" customHeight="1" s="59">
      <ns0:c r="A24" s="74" t="n"/>
      <ns0:c r="B24" s="68" t="n"/>
      <ns0:c r="C24" s="68" t="n"/>
      <ns0:c r="D24" s="68" t="n"/>
      <ns0:c r="E24" s="69" t="n"/>
      <ns0:c r="F24" s="72" t="str">
        <ns0:f>IF(OR(D24="",E24=""),"",ROUND(D24*E24,2))</ns0:f>
        <ns0:v/>
      </ns0:c>
      <ns0:c r="G24" s="68" t="n"/>
      <ns0:c r="H24" s="68" t="n"/>
    </ns0:row>
    <ns0:row r="25" ht="32" customHeight="1" s="59">
      <ns0:c r="A25" s="74" t="n"/>
      <ns0:c r="B25" s="68" t="n"/>
      <ns0:c r="C25" s="68" t="n"/>
      <ns0:c r="D25" s="68" t="n"/>
      <ns0:c r="E25" s="69" t="n"/>
      <ns0:c r="F25" s="73" t="str">
        <ns0:f>IF(OR(D25="",E25=""),"",ROUND(D25*E25,2))</ns0:f>
        <ns0:v/>
      </ns0:c>
      <ns0:c r="G25" s="68" t="n"/>
      <ns0:c r="H25" s="68" t="n"/>
    </ns0:row>
    <ns0:row r="26" ht="32" customHeight="1" s="59">
      <ns0:c r="A26" s="74" t="n"/>
      <ns0:c r="B26" s="68" t="n"/>
      <ns0:c r="C26" s="68" t="n"/>
      <ns0:c r="D26" s="68" t="n"/>
      <ns0:c r="E26" s="69" t="n"/>
      <ns0:c r="F26" s="72" t="str">
        <ns0:f>IF(OR(D26="",E26=""),"",ROUND(D26*E26,2))</ns0:f>
        <ns0:v/>
      </ns0:c>
      <ns0:c r="G26" s="68" t="n"/>
      <ns0:c r="H26" s="68" t="n"/>
    </ns0:row>
    <ns0:row r="27" ht="32" customHeight="1" s="59">
      <ns0:c r="A27" s="74" t="n"/>
      <ns0:c r="B27" s="68" t="n"/>
      <ns0:c r="C27" s="68" t="n"/>
      <ns0:c r="D27" s="68" t="n"/>
      <ns0:c r="E27" s="69" t="n"/>
      <ns0:c r="F27" s="73" t="str">
        <ns0:f>IF(OR(D27="",E27=""),"",ROUND(D27*E27,2))</ns0:f>
        <ns0:v/>
      </ns0:c>
      <ns0:c r="G27" s="68" t="n"/>
      <ns0:c r="H27" s="68" t="n"/>
    </ns0:row>
    <ns0:row r="28" ht="32" customHeight="1" s="59">
      <ns0:c r="A28" s="74" t="n"/>
      <ns0:c r="B28" s="68" t="n"/>
      <ns0:c r="C28" s="68" t="n"/>
      <ns0:c r="D28" s="68" t="n"/>
      <ns0:c r="E28" s="69" t="n"/>
      <ns0:c r="F28" s="72" t="str">
        <ns0:f>IF(OR(D28="",E28=""),"",ROUND(D28*E28,2))</ns0:f>
        <ns0:v/>
      </ns0:c>
      <ns0:c r="G28" s="68" t="n"/>
      <ns0:c r="H28" s="68" t="n"/>
    </ns0:row>
    <ns0:row r="29" ht="32" customHeight="1" s="59">
      <ns0:c r="A29" s="74" t="n"/>
      <ns0:c r="B29" s="68" t="n"/>
      <ns0:c r="C29" s="68" t="n"/>
      <ns0:c r="D29" s="68" t="n"/>
      <ns0:c r="E29" s="69" t="n"/>
      <ns0:c r="F29" s="73" t="str">
        <ns0:f>IF(OR(D29="",E29=""),"",ROUND(D29*E29,2))</ns0:f>
        <ns0:v/>
      </ns0:c>
      <ns0:c r="G29" s="68" t="n"/>
      <ns0:c r="H29" s="68" t="n"/>
    </ns0:row>
    <ns0:row r="30" ht="32" customHeight="1" s="59">
      <ns0:c r="A30" s="74" t="n"/>
      <ns0:c r="B30" s="68" t="n"/>
      <ns0:c r="C30" s="68" t="n"/>
      <ns0:c r="D30" s="68" t="n"/>
      <ns0:c r="E30" s="69" t="n"/>
      <ns0:c r="F30" s="72" t="str">
        <ns0:f>IF(OR(D30="",E30=""),"",ROUND(D30*E30,2))</ns0:f>
        <ns0:v/>
      </ns0:c>
      <ns0:c r="G30" s="68" t="n"/>
      <ns0:c r="H30" s="68" t="n"/>
    </ns0:row>
    <ns0:row r="31" ht="32" customHeight="1" s="59">
      <ns0:c r="A31" s="74" t="n"/>
      <ns0:c r="B31" s="68" t="n"/>
      <ns0:c r="C31" s="68" t="n"/>
      <ns0:c r="D31" s="68" t="n"/>
      <ns0:c r="E31" s="69" t="n"/>
      <ns0:c r="F31" s="73" t="str">
        <ns0:f>IF(OR(D31="",E31=""),"",ROUND(D31*E31,2))</ns0:f>
        <ns0:v/>
      </ns0:c>
      <ns0:c r="G31" s="68" t="n"/>
      <ns0:c r="H31" s="68" t="n"/>
    </ns0:row>
    <ns0:row r="32" ht="32" customHeight="1" s="59">
      <ns0:c r="A32" s="74" t="n"/>
      <ns0:c r="B32" s="68" t="n"/>
      <ns0:c r="C32" s="68" t="n"/>
      <ns0:c r="D32" s="68" t="n"/>
      <ns0:c r="E32" s="69" t="n"/>
      <ns0:c r="F32" s="72" t="str">
        <ns0:f>IF(OR(D32="",E32=""),"",ROUND(D32*E32,2))</ns0:f>
        <ns0:v/>
      </ns0:c>
      <ns0:c r="G32" s="68" t="n"/>
      <ns0:c r="H32" s="68" t="n"/>
    </ns0:row>
    <ns0:row r="33" ht="32" customHeight="1" s="59">
      <ns0:c r="A33" s="74" t="n"/>
      <ns0:c r="B33" s="68" t="n"/>
      <ns0:c r="C33" s="68" t="n"/>
      <ns0:c r="D33" s="68" t="n"/>
      <ns0:c r="E33" s="69" t="n"/>
      <ns0:c r="F33" s="73" t="str">
        <ns0:f>IF(OR(D33="",E33=""),"",ROUND(D33*E33,2))</ns0:f>
        <ns0:v/>
      </ns0:c>
      <ns0:c r="G33" s="68" t="n"/>
      <ns0:c r="H33" s="68" t="n"/>
    </ns0:row>
    <ns0:row r="34" ht="32" customHeight="1" s="59">
      <ns0:c r="A34" s="74" t="n"/>
      <ns0:c r="B34" s="68" t="n"/>
      <ns0:c r="C34" s="68" t="n"/>
      <ns0:c r="D34" s="68" t="n"/>
      <ns0:c r="E34" s="69" t="n"/>
      <ns0:c r="F34" s="72" t="str">
        <ns0:f>IF(OR(D34="",E34=""),"",ROUND(D34*E34,2))</ns0:f>
        <ns0:v/>
      </ns0:c>
      <ns0:c r="G34" s="68" t="n"/>
      <ns0:c r="H34" s="68" t="n"/>
    </ns0:row>
    <ns0:row r="35" ht="32" customHeight="1" s="59">
      <ns0:c r="A35" s="74" t="n"/>
      <ns0:c r="B35" s="68" t="n"/>
      <ns0:c r="C35" s="68" t="n"/>
      <ns0:c r="D35" s="68" t="n"/>
      <ns0:c r="E35" s="69" t="n"/>
      <ns0:c r="F35" s="73" t="str">
        <ns0:f>IF(OR(D35="",E35=""),"",ROUND(D35*E35,2))</ns0:f>
        <ns0:v/>
      </ns0:c>
      <ns0:c r="G35" s="68" t="n"/>
      <ns0:c r="H35" s="68" t="n"/>
    </ns0:row>
    <ns0:row r="36" ht="32" customHeight="1" s="59">
      <ns0:c r="A36" s="74" t="n"/>
      <ns0:c r="B36" s="68" t="n"/>
      <ns0:c r="C36" s="68" t="n"/>
      <ns0:c r="D36" s="68" t="n"/>
      <ns0:c r="E36" s="69" t="n"/>
      <ns0:c r="F36" s="72" t="str">
        <ns0:f>IF(OR(D36="",E36=""),"",ROUND(D36*E36,2))</ns0:f>
        <ns0:v/>
      </ns0:c>
      <ns0:c r="G36" s="68" t="n"/>
      <ns0:c r="H36" s="68" t="n"/>
    </ns0:row>
    <ns0:row r="37" ht="32" customHeight="1" s="59">
      <ns0:c r="A37" s="74" t="n"/>
      <ns0:c r="B37" s="68" t="n"/>
      <ns0:c r="C37" s="68" t="n"/>
      <ns0:c r="D37" s="68" t="n"/>
      <ns0:c r="E37" s="69" t="n"/>
      <ns0:c r="F37" s="73" t="str">
        <ns0:f>IF(OR(D37="",E37=""),"",ROUND(D37*E37,2))</ns0:f>
        <ns0:v/>
      </ns0:c>
      <ns0:c r="G37" s="68" t="n"/>
      <ns0:c r="H37" s="68" t="n"/>
    </ns0:row>
    <ns0:row r="38" ht="32" customHeight="1" s="59">
      <ns0:c r="A38" s="74" t="n"/>
      <ns0:c r="B38" s="68" t="n"/>
      <ns0:c r="C38" s="68" t="n"/>
      <ns0:c r="D38" s="68" t="n"/>
      <ns0:c r="E38" s="69" t="n"/>
      <ns0:c r="F38" s="72" t="str">
        <ns0:f>IF(OR(D38="",E38=""),"",ROUND(D38*E38,2))</ns0:f>
        <ns0:v/>
      </ns0:c>
      <ns0:c r="G38" s="68" t="n"/>
      <ns0:c r="H38" s="68" t="n"/>
    </ns0:row>
    <ns0:row r="39" ht="32" customHeight="1" s="59">
      <ns0:c r="A39" s="74" t="n"/>
      <ns0:c r="B39" s="68" t="n"/>
      <ns0:c r="C39" s="68" t="n"/>
      <ns0:c r="D39" s="68" t="n"/>
      <ns0:c r="E39" s="69" t="n"/>
      <ns0:c r="F39" s="73" t="str">
        <ns0:f>IF(OR(D39="",E39=""),"",ROUND(D39*E39,2))</ns0:f>
        <ns0:v/>
      </ns0:c>
      <ns0:c r="G39" s="68" t="n"/>
      <ns0:c r="H39" s="68" t="n"/>
    </ns0:row>
    <ns0:row r="40" ht="32" customHeight="1" s="59">
      <ns0:c r="A40" s="74" t="n"/>
      <ns0:c r="B40" s="68" t="n"/>
      <ns0:c r="C40" s="68" t="n"/>
      <ns0:c r="D40" s="68" t="n"/>
      <ns0:c r="E40" s="69" t="n"/>
      <ns0:c r="F40" s="72" t="str">
        <ns0:f>IF(OR(D40="",E40=""),"",ROUND(D40*E40,2))</ns0:f>
        <ns0:v/>
      </ns0:c>
      <ns0:c r="G40" s="68" t="n"/>
      <ns0:c r="H40" s="68" t="n"/>
    </ns0:row>
    <ns0:row r="41" ht="32" customHeight="1" s="59">
      <ns0:c r="A41" s="74" t="n"/>
      <ns0:c r="B41" s="68" t="n"/>
      <ns0:c r="C41" s="68" t="n"/>
      <ns0:c r="D41" s="68" t="n"/>
      <ns0:c r="E41" s="69" t="n"/>
      <ns0:c r="F41" s="73" t="str">
        <ns0:f>IF(OR(D41="",E41=""),"",ROUND(D41*E41,2))</ns0:f>
        <ns0:v/>
      </ns0:c>
      <ns0:c r="G41" s="68" t="n"/>
      <ns0:c r="H41" s="68" t="n"/>
    </ns0:row>
    <ns0:row r="42" ht="32" customHeight="1" s="59">
      <ns0:c r="A42" s="74" t="n"/>
      <ns0:c r="B42" s="68" t="n"/>
      <ns0:c r="C42" s="68" t="n"/>
      <ns0:c r="D42" s="68" t="n"/>
      <ns0:c r="E42" s="69" t="n"/>
      <ns0:c r="F42" s="72" t="str">
        <ns0:f>IF(OR(D42="",E42=""),"",ROUND(D42*E42,2))</ns0:f>
        <ns0:v/>
      </ns0:c>
      <ns0:c r="G42" s="68" t="n"/>
      <ns0:c r="H42" s="68" t="n"/>
    </ns0:row>
    <ns0:row r="43" ht="32" customHeight="1" s="59">
      <ns0:c r="A43" s="74" t="n"/>
      <ns0:c r="B43" s="68" t="n"/>
      <ns0:c r="C43" s="68" t="n"/>
      <ns0:c r="D43" s="68" t="n"/>
      <ns0:c r="E43" s="69" t="n"/>
      <ns0:c r="F43" s="73" t="str">
        <ns0:f>IF(OR(D43="",E43=""),"",ROUND(D43*E43,2))</ns0:f>
        <ns0:v/>
      </ns0:c>
      <ns0:c r="G43" s="68" t="n"/>
      <ns0:c r="H43" s="68" t="n"/>
    </ns0:row>
    <ns0:row r="44" ht="32" customHeight="1" s="59">
      <ns0:c r="A44" s="74" t="n"/>
      <ns0:c r="B44" s="68" t="n"/>
      <ns0:c r="C44" s="68" t="n"/>
      <ns0:c r="D44" s="68" t="n"/>
      <ns0:c r="E44" s="69" t="n"/>
      <ns0:c r="F44" s="72" t="str">
        <ns0:f>IF(OR(D44="",E44=""),"",ROUND(D44*E44,2))</ns0:f>
        <ns0:v/>
      </ns0:c>
      <ns0:c r="G44" s="68" t="n"/>
      <ns0:c r="H44" s="68" t="n"/>
    </ns0:row>
    <ns0:row r="45" ht="32" customHeight="1" s="59">
      <ns0:c r="A45" s="74" t="n"/>
      <ns0:c r="B45" s="68" t="n"/>
      <ns0:c r="C45" s="68" t="n"/>
      <ns0:c r="D45" s="68" t="n"/>
      <ns0:c r="E45" s="69" t="n"/>
      <ns0:c r="F45" s="73" t="str">
        <ns0:f>IF(OR(D45="",E45=""),"",ROUND(D45*E45,2))</ns0:f>
        <ns0:v/>
      </ns0:c>
      <ns0:c r="G45" s="68" t="n"/>
      <ns0:c r="H45" s="68" t="n"/>
    </ns0:row>
    <ns0:row r="46" ht="32" customHeight="1" s="59">
      <ns0:c r="A46" s="74" t="n"/>
      <ns0:c r="B46" s="68" t="n"/>
      <ns0:c r="C46" s="68" t="n"/>
      <ns0:c r="D46" s="68" t="n"/>
      <ns0:c r="E46" s="69" t="n"/>
      <ns0:c r="F46" s="72" t="str">
        <ns0:f>IF(OR(D46="",E46=""),"",ROUND(D46*E46,2))</ns0:f>
        <ns0:v/>
      </ns0:c>
      <ns0:c r="G46" s="68" t="n"/>
      <ns0:c r="H46" s="68" t="n"/>
    </ns0:row>
    <ns0:row r="47" ht="32" customHeight="1" s="59">
      <ns0:c r="A47" s="74" t="n"/>
      <ns0:c r="B47" s="68" t="n"/>
      <ns0:c r="C47" s="68" t="n"/>
      <ns0:c r="D47" s="68" t="n"/>
      <ns0:c r="E47" s="69" t="n"/>
      <ns0:c r="F47" s="73" t="str">
        <ns0:f>IF(OR(D47="",E47=""),"",ROUND(D47*E47,2))</ns0:f>
        <ns0:v/>
      </ns0:c>
      <ns0:c r="G47" s="68" t="n"/>
      <ns0:c r="H47" s="68" t="n"/>
    </ns0:row>
    <ns0:row r="48" ht="32" customHeight="1" s="59">
      <ns0:c r="A48" s="74" t="n"/>
      <ns0:c r="B48" s="68" t="n"/>
      <ns0:c r="C48" s="68" t="n"/>
      <ns0:c r="D48" s="68" t="n"/>
      <ns0:c r="E48" s="69" t="n"/>
      <ns0:c r="F48" s="72" t="str">
        <ns0:f>IF(OR(D48="",E48=""),"",ROUND(D48*E48,2))</ns0:f>
        <ns0:v/>
      </ns0:c>
      <ns0:c r="G48" s="68" t="n"/>
      <ns0:c r="H48" s="68" t="n"/>
    </ns0:row>
    <ns0:row r="49" ht="32" customHeight="1" s="59">
      <ns0:c r="A49" s="74" t="n"/>
      <ns0:c r="B49" s="68" t="n"/>
      <ns0:c r="C49" s="68" t="n"/>
      <ns0:c r="D49" s="68" t="n"/>
      <ns0:c r="E49" s="69" t="n"/>
      <ns0:c r="F49" s="73" t="str">
        <ns0:f>IF(OR(D49="",E49=""),"",ROUND(D49*E49,2))</ns0:f>
        <ns0:v/>
      </ns0:c>
      <ns0:c r="G49" s="68" t="n"/>
      <ns0:c r="H49" s="68" t="n"/>
    </ns0:row>
    <ns0:row r="50" ht="32" customHeight="1" s="59">
      <ns0:c r="A50" s="74" t="n"/>
      <ns0:c r="B50" s="68" t="n"/>
      <ns0:c r="C50" s="68" t="n"/>
      <ns0:c r="D50" s="68" t="n"/>
      <ns0:c r="E50" s="69" t="n"/>
      <ns0:c r="F50" s="72" t="str">
        <ns0:f>IF(OR(D50="",E50=""),"",ROUND(D50*E50,2))</ns0:f>
        <ns0:v/>
      </ns0:c>
      <ns0:c r="G50" s="68" t="n"/>
      <ns0:c r="H50" s="68" t="n"/>
    </ns0:row>
    <ns0:row r="51" ht="32" customHeight="1" s="59">
      <ns0:c r="A51" s="74" t="n"/>
      <ns0:c r="B51" s="68" t="n"/>
      <ns0:c r="C51" s="68" t="n"/>
      <ns0:c r="D51" s="68" t="n"/>
      <ns0:c r="E51" s="69" t="n"/>
      <ns0:c r="F51" s="73" t="str">
        <ns0:f>IF(OR(D51="",E51=""),"",ROUND(D51*E51,2))</ns0:f>
        <ns0:v/>
      </ns0:c>
      <ns0:c r="G51" s="68" t="n"/>
      <ns0:c r="H51" s="68" t="n"/>
    </ns0:row>
    <ns0:row r="52" ht="32" customHeight="1" s="59">
      <ns0:c r="A52" s="74" t="n"/>
      <ns0:c r="B52" s="68" t="n"/>
      <ns0:c r="C52" s="68" t="n"/>
      <ns0:c r="D52" s="68" t="n"/>
      <ns0:c r="E52" s="69" t="n"/>
      <ns0:c r="F52" s="72" t="str">
        <ns0:f>IF(OR(D52="",E52=""),"",ROUND(D52*E52,2))</ns0:f>
        <ns0:v/>
      </ns0:c>
      <ns0:c r="G52" s="68" t="n"/>
      <ns0:c r="H52" s="68" t="n"/>
    </ns0:row>
    <ns0:row r="53" ht="32" customHeight="1" s="59">
      <ns0:c r="A53" s="74" t="n"/>
      <ns0:c r="B53" s="68" t="n"/>
      <ns0:c r="C53" s="68" t="n"/>
      <ns0:c r="D53" s="68" t="n"/>
      <ns0:c r="E53" s="69" t="n"/>
      <ns0:c r="F53" s="73" t="str">
        <ns0:f>IF(OR(D53="",E53=""),"",ROUND(D53*E53,2))</ns0:f>
        <ns0:v/>
      </ns0:c>
      <ns0:c r="G53" s="68" t="n"/>
      <ns0:c r="H53" s="68" t="n"/>
    </ns0:row>
    <ns0:row r="54" ht="32" customHeight="1" s="59">
      <ns0:c r="A54" s="74" t="n"/>
      <ns0:c r="B54" s="68" t="n"/>
      <ns0:c r="C54" s="68" t="n"/>
      <ns0:c r="D54" s="68" t="n"/>
      <ns0:c r="E54" s="69" t="n"/>
      <ns0:c r="F54" s="72" t="str">
        <ns0:f>IF(OR(D54="",E54=""),"",ROUND(D54*E54,2))</ns0:f>
        <ns0:v/>
      </ns0:c>
      <ns0:c r="G54" s="68" t="n"/>
      <ns0:c r="H54" s="68" t="n"/>
    </ns0:row>
    <ns0:row r="55" ht="32" customHeight="1" s="59">
      <ns0:c r="A55" s="74" t="n"/>
      <ns0:c r="B55" s="68" t="n"/>
      <ns0:c r="C55" s="68" t="n"/>
      <ns0:c r="D55" s="68" t="n"/>
      <ns0:c r="E55" s="69" t="n"/>
      <ns0:c r="F55" s="73" t="str">
        <ns0:f>IF(OR(D55="",E55=""),"",ROUND(D55*E55,2))</ns0:f>
        <ns0:v/>
      </ns0:c>
      <ns0:c r="G55" s="68" t="n"/>
      <ns0:c r="H55" s="68" t="n"/>
    </ns0:row>
    <ns0:row r="56" ht="32" customHeight="1" s="59">
      <ns0:c r="A56" s="74" t="n"/>
      <ns0:c r="B56" s="68" t="n"/>
      <ns0:c r="C56" s="68" t="n"/>
      <ns0:c r="D56" s="68" t="n"/>
      <ns0:c r="E56" s="69" t="n"/>
      <ns0:c r="F56" s="72" t="str">
        <ns0:f>IF(OR(D56="",E56=""),"",ROUND(D56*E56,2))</ns0:f>
        <ns0:v/>
      </ns0:c>
      <ns0:c r="G56" s="68" t="n"/>
      <ns0:c r="H56" s="68" t="n"/>
    </ns0:row>
    <ns0:row r="57" ht="32" customHeight="1" s="59">
      <ns0:c r="A57" s="74" t="n"/>
      <ns0:c r="B57" s="68" t="n"/>
      <ns0:c r="C57" s="68" t="n"/>
      <ns0:c r="D57" s="68" t="n"/>
      <ns0:c r="E57" s="69" t="n"/>
      <ns0:c r="F57" s="73" t="str">
        <ns0:f>IF(OR(D57="",E57=""),"",ROUND(D57*E57,2))</ns0:f>
        <ns0:v/>
      </ns0:c>
      <ns0:c r="G57" s="68" t="n"/>
      <ns0:c r="H57" s="68" t="n"/>
    </ns0:row>
    <ns0:row r="58" ht="32" customHeight="1" s="59">
      <ns0:c r="A58" s="74" t="n"/>
      <ns0:c r="B58" s="68" t="n"/>
      <ns0:c r="C58" s="68" t="n"/>
      <ns0:c r="D58" s="68" t="n"/>
      <ns0:c r="E58" s="69" t="n"/>
      <ns0:c r="F58" s="72" t="str">
        <ns0:f>IF(OR(D58="",E58=""),"",ROUND(D58*E58,2))</ns0:f>
        <ns0:v/>
      </ns0:c>
      <ns0:c r="G58" s="68" t="n"/>
      <ns0:c r="H58" s="68" t="n"/>
    </ns0:row>
    <ns0:row r="59" ht="32" customHeight="1" s="59">
      <ns0:c r="A59" s="74" t="n"/>
      <ns0:c r="B59" s="68" t="n"/>
      <ns0:c r="C59" s="68" t="n"/>
      <ns0:c r="D59" s="68" t="n"/>
      <ns0:c r="E59" s="69" t="n"/>
      <ns0:c r="F59" s="73" t="str">
        <ns0:f>IF(OR(D59="",E59=""),"",ROUND(D59*E59,2))</ns0:f>
        <ns0:v/>
      </ns0:c>
      <ns0:c r="G59" s="68" t="n"/>
      <ns0:c r="H59" s="68" t="n"/>
    </ns0:row>
    <ns0:row r="60" ht="32" customHeight="1" s="59">
      <ns0:c r="A60" s="74" t="n"/>
      <ns0:c r="B60" s="68" t="n"/>
      <ns0:c r="C60" s="68" t="n"/>
      <ns0:c r="D60" s="68" t="n"/>
      <ns0:c r="E60" s="69" t="n"/>
      <ns0:c r="F60" s="72" t="str">
        <ns0:f>IF(OR(D60="",E60=""),"",ROUND(D60*E60,2))</ns0:f>
        <ns0:v/>
      </ns0:c>
      <ns0:c r="G60" s="68" t="n"/>
      <ns0:c r="H60" s="68" t="n"/>
    </ns0:row>
    <ns0:row r="61" ht="32" customHeight="1" s="59">
      <ns0:c r="A61" s="74" t="n"/>
      <ns0:c r="B61" s="68" t="n"/>
      <ns0:c r="C61" s="68" t="n"/>
      <ns0:c r="D61" s="68" t="n"/>
      <ns0:c r="E61" s="69" t="n"/>
      <ns0:c r="F61" s="73" t="str">
        <ns0:f>IF(OR(D61="",E61=""),"",ROUND(D61*E61,2))</ns0:f>
        <ns0:v/>
      </ns0:c>
      <ns0:c r="G61" s="68" t="n"/>
      <ns0:c r="H61" s="68" t="n"/>
    </ns0:row>
    <ns0:row r="62" ht="32" customHeight="1" s="59">
      <ns0:c r="A62" s="74" t="n"/>
      <ns0:c r="B62" s="68" t="n"/>
      <ns0:c r="C62" s="68" t="n"/>
      <ns0:c r="D62" s="68" t="n"/>
      <ns0:c r="E62" s="69" t="n"/>
      <ns0:c r="F62" s="72" t="str">
        <ns0:f>IF(OR(D62="",E62=""),"",ROUND(D62*E62,2))</ns0:f>
        <ns0:v/>
      </ns0:c>
      <ns0:c r="G62" s="68" t="n"/>
      <ns0:c r="H62" s="68" t="n"/>
    </ns0:row>
    <ns0:row r="63" ht="32" customHeight="1" s="59">
      <ns0:c r="A63" s="74" t="n"/>
      <ns0:c r="B63" s="68" t="n"/>
      <ns0:c r="C63" s="68" t="n"/>
      <ns0:c r="D63" s="68" t="n"/>
      <ns0:c r="E63" s="69" t="n"/>
      <ns0:c r="F63" s="73" t="str">
        <ns0:f>IF(OR(D63="",E63=""),"",ROUND(D63*E63,2))</ns0:f>
        <ns0:v/>
      </ns0:c>
      <ns0:c r="G63" s="68" t="n"/>
      <ns0:c r="H63" s="68" t="n"/>
    </ns0:row>
    <ns0:row r="64" ht="32" customHeight="1" s="59">
      <ns0:c r="A64" s="74" t="n"/>
      <ns0:c r="B64" s="68" t="n"/>
      <ns0:c r="C64" s="68" t="n"/>
      <ns0:c r="D64" s="68" t="n"/>
      <ns0:c r="E64" s="69" t="n"/>
      <ns0:c r="F64" s="72" t="str">
        <ns0:f>IF(OR(D64="",E64=""),"",ROUND(D64*E64,2))</ns0:f>
        <ns0:v/>
      </ns0:c>
      <ns0:c r="G64" s="68" t="n"/>
      <ns0:c r="H64" s="68" t="n"/>
    </ns0:row>
    <ns0:row r="65" ht="32" customHeight="1" s="59">
      <ns0:c r="A65" s="74" t="n"/>
      <ns0:c r="B65" s="68" t="n"/>
      <ns0:c r="C65" s="68" t="n"/>
      <ns0:c r="D65" s="68" t="n"/>
      <ns0:c r="E65" s="69" t="n"/>
      <ns0:c r="F65" s="73" t="str">
        <ns0:f>IF(OR(D65="",E65=""),"",ROUND(D65*E65,2))</ns0:f>
        <ns0:v/>
      </ns0:c>
      <ns0:c r="G65" s="68" t="n"/>
      <ns0:c r="H65" s="68" t="n"/>
    </ns0:row>
    <ns0:row r="66" ht="32" customHeight="1" s="59">
      <ns0:c r="A66" s="74" t="n"/>
      <ns0:c r="B66" s="68" t="n"/>
      <ns0:c r="C66" s="68" t="n"/>
      <ns0:c r="D66" s="68" t="n"/>
      <ns0:c r="E66" s="69" t="n"/>
      <ns0:c r="F66" s="72" t="str">
        <ns0:f>IF(OR(D66="",E66=""),"",ROUND(D66*E66,2))</ns0:f>
        <ns0:v/>
      </ns0:c>
      <ns0:c r="G66" s="68" t="n"/>
      <ns0:c r="H66" s="68" t="n"/>
    </ns0:row>
    <ns0:row r="67" ht="32" customHeight="1" s="59">
      <ns0:c r="A67" s="74" t="n"/>
      <ns0:c r="B67" s="68" t="n"/>
      <ns0:c r="C67" s="68" t="n"/>
      <ns0:c r="D67" s="68" t="n"/>
      <ns0:c r="E67" s="69" t="n"/>
      <ns0:c r="F67" s="73" t="str">
        <ns0:f>IF(OR(D67="",E67=""),"",ROUND(D67*E67,2))</ns0:f>
        <ns0:v/>
      </ns0:c>
      <ns0:c r="G67" s="68" t="n"/>
      <ns0:c r="H67" s="68" t="n"/>
    </ns0:row>
    <ns0:row r="68" ht="32" customHeight="1" s="59">
      <ns0:c r="A68" s="74" t="n"/>
      <ns0:c r="B68" s="68" t="n"/>
      <ns0:c r="C68" s="68" t="n"/>
      <ns0:c r="D68" s="68" t="n"/>
      <ns0:c r="E68" s="69" t="n"/>
      <ns0:c r="F68" s="72" t="str">
        <ns0:f>IF(OR(D68="",E68=""),"",ROUND(D68*E68,2))</ns0:f>
        <ns0:v/>
      </ns0:c>
      <ns0:c r="G68" s="68" t="n"/>
      <ns0:c r="H68" s="68" t="n"/>
    </ns0:row>
    <ns0:row r="69" ht="32" customHeight="1" s="59">
      <ns0:c r="A69" s="74" t="n"/>
      <ns0:c r="B69" s="68" t="n"/>
      <ns0:c r="C69" s="68" t="n"/>
      <ns0:c r="D69" s="68" t="n"/>
      <ns0:c r="E69" s="69" t="n"/>
      <ns0:c r="F69" s="73" t="str">
        <ns0:f>IF(OR(D69="",E69=""),"",ROUND(D69*E69,2))</ns0:f>
        <ns0:v/>
      </ns0:c>
      <ns0:c r="G69" s="68" t="n"/>
      <ns0:c r="H69" s="68" t="n"/>
    </ns0:row>
    <ns0:row r="70" ht="32" customHeight="1" s="59">
      <ns0:c r="A70" s="74" t="n"/>
      <ns0:c r="B70" s="68" t="n"/>
      <ns0:c r="C70" s="68" t="n"/>
      <ns0:c r="D70" s="68" t="n"/>
      <ns0:c r="E70" s="69" t="n"/>
      <ns0:c r="F70" s="72" t="str">
        <ns0:f>IF(OR(D70="",E70=""),"",ROUND(D70*E70,2))</ns0:f>
        <ns0:v/>
      </ns0:c>
      <ns0:c r="G70" s="68" t="n"/>
      <ns0:c r="H70" s="68" t="n"/>
    </ns0:row>
    <ns0:row r="71" ht="32" customHeight="1" s="59">
      <ns0:c r="A71" s="74" t="n"/>
      <ns0:c r="B71" s="68" t="n"/>
      <ns0:c r="C71" s="68" t="n"/>
      <ns0:c r="D71" s="68" t="n"/>
      <ns0:c r="E71" s="69" t="n"/>
      <ns0:c r="F71" s="73" t="str">
        <ns0:f>IF(OR(D71="",E71=""),"",ROUND(D71*E71,2))</ns0:f>
        <ns0:v/>
      </ns0:c>
      <ns0:c r="G71" s="68" t="n"/>
      <ns0:c r="H71" s="68" t="n"/>
    </ns0:row>
    <ns0:row r="72" ht="32" customHeight="1" s="59">
      <ns0:c r="A72" s="74" t="n"/>
      <ns0:c r="B72" s="68" t="n"/>
      <ns0:c r="C72" s="68" t="n"/>
      <ns0:c r="D72" s="68" t="n"/>
      <ns0:c r="E72" s="69" t="n"/>
      <ns0:c r="F72" s="72" t="str">
        <ns0:f>IF(OR(D72="",E72=""),"",ROUND(D72*E72,2))</ns0:f>
        <ns0:v/>
      </ns0:c>
      <ns0:c r="G72" s="68" t="n"/>
      <ns0:c r="H72" s="68" t="n"/>
    </ns0:row>
    <ns0:row r="73" ht="32" customHeight="1" s="59">
      <ns0:c r="A73" s="74" t="n"/>
      <ns0:c r="B73" s="68" t="n"/>
      <ns0:c r="C73" s="68" t="n"/>
      <ns0:c r="D73" s="68" t="n"/>
      <ns0:c r="E73" s="69" t="n"/>
      <ns0:c r="F73" s="73" t="str">
        <ns0:f>IF(OR(D73="",E73=""),"",ROUND(D73*E73,2))</ns0:f>
        <ns0:v/>
      </ns0:c>
      <ns0:c r="G73" s="68" t="n"/>
      <ns0:c r="H73" s="68" t="n"/>
    </ns0:row>
    <ns0:row r="74" ht="32" customHeight="1" s="59">
      <ns0:c r="A74" s="74" t="n"/>
      <ns0:c r="B74" s="68" t="n"/>
      <ns0:c r="C74" s="68" t="n"/>
      <ns0:c r="D74" s="68" t="n"/>
      <ns0:c r="E74" s="69" t="n"/>
      <ns0:c r="F74" s="72" t="str">
        <ns0:f>IF(OR(D74="",E74=""),"",ROUND(D74*E74,2))</ns0:f>
        <ns0:v/>
      </ns0:c>
      <ns0:c r="G74" s="68" t="n"/>
      <ns0:c r="H74" s="68" t="n"/>
    </ns0:row>
    <ns0:row r="75" ht="32" customHeight="1" s="59">
      <ns0:c r="A75" s="74" t="n"/>
      <ns0:c r="B75" s="68" t="n"/>
      <ns0:c r="C75" s="68" t="n"/>
      <ns0:c r="D75" s="68" t="n"/>
      <ns0:c r="E75" s="69" t="n"/>
      <ns0:c r="F75" s="73" t="str">
        <ns0:f>IF(OR(D75="",E75=""),"",ROUND(D75*E75,2))</ns0:f>
        <ns0:v/>
      </ns0:c>
      <ns0:c r="G75" s="68" t="n"/>
      <ns0:c r="H75" s="68" t="n"/>
    </ns0:row>
    <ns0:row r="76" ht="32" customHeight="1" s="59">
      <ns0:c r="A76" s="74" t="n"/>
      <ns0:c r="B76" s="68" t="n"/>
      <ns0:c r="C76" s="68" t="n"/>
      <ns0:c r="D76" s="68" t="n"/>
      <ns0:c r="E76" s="69" t="n"/>
      <ns0:c r="F76" s="72" t="str">
        <ns0:f>IF(OR(D76="",E76=""),"",ROUND(D76*E76,2))</ns0:f>
        <ns0:v/>
      </ns0:c>
      <ns0:c r="G76" s="68" t="n"/>
      <ns0:c r="H76" s="68" t="n"/>
    </ns0:row>
    <ns0:row r="77" ht="32" customHeight="1" s="59">
      <ns0:c r="A77" s="74" t="n"/>
      <ns0:c r="B77" s="68" t="n"/>
      <ns0:c r="C77" s="68" t="n"/>
      <ns0:c r="D77" s="68" t="n"/>
      <ns0:c r="E77" s="69" t="n"/>
      <ns0:c r="F77" s="73" t="str">
        <ns0:f>IF(OR(D77="",E77=""),"",ROUND(D77*E77,2))</ns0:f>
        <ns0:v/>
      </ns0:c>
      <ns0:c r="G77" s="68" t="n"/>
      <ns0:c r="H77" s="68" t="n"/>
    </ns0:row>
    <ns0:row r="78" ht="32" customHeight="1" s="59">
      <ns0:c r="A78" s="74" t="n"/>
      <ns0:c r="B78" s="68" t="n"/>
      <ns0:c r="C78" s="68" t="n"/>
      <ns0:c r="D78" s="68" t="n"/>
      <ns0:c r="E78" s="69" t="n"/>
      <ns0:c r="F78" s="72" t="str">
        <ns0:f>IF(OR(D78="",E78=""),"",ROUND(D78*E78,2))</ns0:f>
        <ns0:v/>
      </ns0:c>
      <ns0:c r="G78" s="68" t="n"/>
      <ns0:c r="H78" s="68" t="n"/>
    </ns0:row>
    <ns0:row r="79" ht="32" customHeight="1" s="59">
      <ns0:c r="A79" s="74" t="n"/>
      <ns0:c r="B79" s="68" t="n"/>
      <ns0:c r="C79" s="68" t="n"/>
      <ns0:c r="D79" s="68" t="n"/>
      <ns0:c r="E79" s="69" t="n"/>
      <ns0:c r="F79" s="73" t="str">
        <ns0:f>IF(OR(D79="",E79=""),"",ROUND(D79*E79,2))</ns0:f>
        <ns0:v/>
      </ns0:c>
      <ns0:c r="G79" s="68" t="n"/>
      <ns0:c r="H79" s="68" t="n"/>
    </ns0:row>
    <ns0:row r="80" ht="32" customHeight="1" s="59">
      <ns0:c r="A80" s="74" t="n"/>
      <ns0:c r="B80" s="68" t="n"/>
      <ns0:c r="C80" s="68" t="n"/>
      <ns0:c r="D80" s="68" t="n"/>
      <ns0:c r="E80" s="69" t="n"/>
      <ns0:c r="F80" s="72" t="str">
        <ns0:f>IF(OR(D80="",E80=""),"",ROUND(D80*E80,2))</ns0:f>
        <ns0:v/>
      </ns0:c>
      <ns0:c r="G80" s="68" t="n"/>
      <ns0:c r="H80" s="68" t="n"/>
    </ns0:row>
    <ns0:row r="81" ht="32" customHeight="1" s="59">
      <ns0:c r="A81" s="74" t="n"/>
      <ns0:c r="B81" s="68" t="n"/>
      <ns0:c r="C81" s="68" t="n"/>
      <ns0:c r="D81" s="68" t="n"/>
      <ns0:c r="E81" s="69" t="n"/>
      <ns0:c r="F81" s="73" t="str">
        <ns0:f>IF(OR(D81="",E81=""),"",ROUND(D81*E81,2))</ns0:f>
        <ns0:v/>
      </ns0:c>
      <ns0:c r="G81" s="68" t="n"/>
      <ns0:c r="H81" s="68" t="n"/>
    </ns0:row>
    <ns0:row r="82" ht="32" customHeight="1" s="59">
      <ns0:c r="A82" s="74" t="n"/>
      <ns0:c r="B82" s="68" t="n"/>
      <ns0:c r="C82" s="68" t="n"/>
      <ns0:c r="D82" s="68" t="n"/>
      <ns0:c r="E82" s="69" t="n"/>
      <ns0:c r="F82" s="72" t="str">
        <ns0:f>IF(OR(D82="",E82=""),"",ROUND(D82*E82,2))</ns0:f>
        <ns0:v/>
      </ns0:c>
      <ns0:c r="G82" s="68" t="n"/>
      <ns0:c r="H82" s="68" t="n"/>
    </ns0:row>
    <ns0:row r="83" ht="32" customHeight="1" s="59">
      <ns0:c r="A83" s="74" t="n"/>
      <ns0:c r="B83" s="68" t="n"/>
      <ns0:c r="C83" s="68" t="n"/>
      <ns0:c r="D83" s="68" t="n"/>
      <ns0:c r="E83" s="69" t="n"/>
      <ns0:c r="F83" s="73" t="str">
        <ns0:f>IF(OR(D83="",E83=""),"",ROUND(D83*E83,2))</ns0:f>
        <ns0:v/>
      </ns0:c>
      <ns0:c r="G83" s="68" t="n"/>
      <ns0:c r="H83" s="68" t="n"/>
    </ns0:row>
    <ns0:row r="84" ht="32" customHeight="1" s="59">
      <ns0:c r="A84" s="74" t="n"/>
      <ns0:c r="B84" s="68" t="n"/>
      <ns0:c r="C84" s="68" t="n"/>
      <ns0:c r="D84" s="68" t="n"/>
      <ns0:c r="E84" s="69" t="n"/>
      <ns0:c r="F84" s="72" t="str">
        <ns0:f>IF(OR(D84="",E84=""),"",ROUND(D84*E84,2))</ns0:f>
        <ns0:v/>
      </ns0:c>
      <ns0:c r="G84" s="68" t="n"/>
      <ns0:c r="H84" s="68" t="n"/>
    </ns0:row>
    <ns0:row r="85" ht="32" customHeight="1" s="59">
      <ns0:c r="A85" s="74" t="n"/>
      <ns0:c r="B85" s="68" t="n"/>
      <ns0:c r="C85" s="68" t="n"/>
      <ns0:c r="D85" s="68" t="n"/>
      <ns0:c r="E85" s="69" t="n"/>
      <ns0:c r="F85" s="73" t="str">
        <ns0:f>IF(OR(D85="",E85=""),"",ROUND(D85*E85,2))</ns0:f>
        <ns0:v/>
      </ns0:c>
      <ns0:c r="G85" s="68" t="n"/>
      <ns0:c r="H85" s="68" t="n"/>
    </ns0:row>
    <ns0:row r="86" ht="32" customHeight="1" s="59">
      <ns0:c r="A86" s="74" t="n"/>
      <ns0:c r="B86" s="68" t="n"/>
      <ns0:c r="C86" s="68" t="n"/>
      <ns0:c r="D86" s="68" t="n"/>
      <ns0:c r="E86" s="69" t="n"/>
      <ns0:c r="F86" s="72" t="str">
        <ns0:f>IF(OR(D86="",E86=""),"",ROUND(D86*E86,2))</ns0:f>
        <ns0:v/>
      </ns0:c>
      <ns0:c r="G86" s="68" t="n"/>
      <ns0:c r="H86" s="68" t="n"/>
    </ns0:row>
    <ns0:row r="87" ht="32" customHeight="1" s="59">
      <ns0:c r="A87" s="74" t="n"/>
      <ns0:c r="B87" s="68" t="n"/>
      <ns0:c r="C87" s="68" t="n"/>
      <ns0:c r="D87" s="68" t="n"/>
      <ns0:c r="E87" s="69" t="n"/>
      <ns0:c r="F87" s="73" t="str">
        <ns0:f>IF(OR(D87="",E87=""),"",ROUND(D87*E87,2))</ns0:f>
        <ns0:v/>
      </ns0:c>
      <ns0:c r="G87" s="68" t="n"/>
      <ns0:c r="H87" s="68" t="n"/>
    </ns0:row>
    <ns0:row r="88" ht="32" customHeight="1" s="59">
      <ns0:c r="A88" s="74" t="n"/>
      <ns0:c r="B88" s="68" t="n"/>
      <ns0:c r="C88" s="68" t="n"/>
      <ns0:c r="D88" s="68" t="n"/>
      <ns0:c r="E88" s="69" t="n"/>
      <ns0:c r="F88" s="72" t="str">
        <ns0:f>IF(OR(D88="",E88=""),"",ROUND(D88*E88,2))</ns0:f>
        <ns0:v/>
      </ns0:c>
      <ns0:c r="G88" s="68" t="n"/>
      <ns0:c r="H88" s="68" t="n"/>
    </ns0:row>
    <ns0:row r="89" ht="32" customHeight="1" s="59">
      <ns0:c r="A89" s="74" t="n"/>
      <ns0:c r="B89" s="68" t="n"/>
      <ns0:c r="C89" s="68" t="n"/>
      <ns0:c r="D89" s="68" t="n"/>
      <ns0:c r="E89" s="69" t="n"/>
      <ns0:c r="F89" s="73" t="str">
        <ns0:f>IF(OR(D89="",E89=""),"",ROUND(D89*E89,2))</ns0:f>
        <ns0:v/>
      </ns0:c>
      <ns0:c r="G89" s="68" t="n"/>
      <ns0:c r="H89" s="68" t="n"/>
    </ns0:row>
    <ns0:row r="90" ht="32" customHeight="1" s="59">
      <ns0:c r="A90" s="74" t="n"/>
      <ns0:c r="B90" s="68" t="n"/>
      <ns0:c r="C90" s="68" t="n"/>
      <ns0:c r="D90" s="68" t="n"/>
      <ns0:c r="E90" s="69" t="n"/>
      <ns0:c r="F90" s="72" t="str">
        <ns0:f>IF(OR(D90="",E90=""),"",ROUND(D90*E90,2))</ns0:f>
        <ns0:v/>
      </ns0:c>
      <ns0:c r="G90" s="68" t="n"/>
      <ns0:c r="H90" s="68" t="n"/>
    </ns0:row>
    <ns0:row r="91" ht="32" customHeight="1" s="59">
      <ns0:c r="A91" s="74" t="n"/>
      <ns0:c r="B91" s="68" t="n"/>
      <ns0:c r="C91" s="68" t="n"/>
      <ns0:c r="D91" s="68" t="n"/>
      <ns0:c r="E91" s="69" t="n"/>
      <ns0:c r="F91" s="73" t="str">
        <ns0:f>IF(OR(D91="",E91=""),"",ROUND(D91*E91,2))</ns0:f>
        <ns0:v/>
      </ns0:c>
      <ns0:c r="G91" s="68" t="n"/>
      <ns0:c r="H91" s="68" t="n"/>
    </ns0:row>
    <ns0:row r="92" ht="32" customHeight="1" s="59">
      <ns0:c r="A92" s="74" t="n"/>
      <ns0:c r="B92" s="68" t="n"/>
      <ns0:c r="C92" s="68" t="n"/>
      <ns0:c r="D92" s="68" t="n"/>
      <ns0:c r="E92" s="69" t="n"/>
      <ns0:c r="F92" s="72" t="str">
        <ns0:f>IF(OR(D92="",E92=""),"",ROUND(D92*E92,2))</ns0:f>
        <ns0:v/>
      </ns0:c>
      <ns0:c r="G92" s="68" t="n"/>
      <ns0:c r="H92" s="68" t="n"/>
    </ns0:row>
    <ns0:row r="93" ht="32" customHeight="1" s="59">
      <ns0:c r="A93" s="74" t="n"/>
      <ns0:c r="B93" s="68" t="n"/>
      <ns0:c r="C93" s="68" t="n"/>
      <ns0:c r="D93" s="68" t="n"/>
      <ns0:c r="E93" s="69" t="n"/>
      <ns0:c r="F93" s="73" t="str">
        <ns0:f>IF(OR(D93="",E93=""),"",ROUND(D93*E93,2))</ns0:f>
        <ns0:v/>
      </ns0:c>
      <ns0:c r="G93" s="68" t="n"/>
      <ns0:c r="H93" s="68" t="n"/>
    </ns0:row>
    <ns0:row r="94" ht="32" customHeight="1" s="59">
      <ns0:c r="A94" s="74" t="n"/>
      <ns0:c r="B94" s="68" t="n"/>
      <ns0:c r="C94" s="68" t="n"/>
      <ns0:c r="D94" s="68" t="n"/>
      <ns0:c r="E94" s="69" t="n"/>
      <ns0:c r="F94" s="72" t="str">
        <ns0:f>IF(OR(D94="",E94=""),"",ROUND(D94*E94,2))</ns0:f>
        <ns0:v/>
      </ns0:c>
      <ns0:c r="G94" s="68" t="n"/>
      <ns0:c r="H94" s="68" t="n"/>
    </ns0:row>
    <ns0:row r="95" ht="32" customHeight="1" s="59">
      <ns0:c r="A95" s="74" t="n"/>
      <ns0:c r="B95" s="68" t="n"/>
      <ns0:c r="C95" s="68" t="n"/>
      <ns0:c r="D95" s="68" t="n"/>
      <ns0:c r="E95" s="69" t="n"/>
      <ns0:c r="F95" s="73" t="str">
        <ns0:f>IF(OR(D95="",E95=""),"",ROUND(D95*E95,2))</ns0:f>
        <ns0:v/>
      </ns0:c>
      <ns0:c r="G95" s="68" t="n"/>
      <ns0:c r="H95" s="68" t="n"/>
    </ns0:row>
    <ns0:row r="96" ht="32" customHeight="1" s="59">
      <ns0:c r="A96" s="74" t="n"/>
      <ns0:c r="B96" s="68" t="n"/>
      <ns0:c r="C96" s="68" t="n"/>
      <ns0:c r="D96" s="68" t="n"/>
      <ns0:c r="E96" s="69" t="n"/>
      <ns0:c r="F96" s="72" t="str">
        <ns0:f>IF(OR(D96="",E96=""),"",ROUND(D96*E96,2))</ns0:f>
        <ns0:v/>
      </ns0:c>
      <ns0:c r="G96" s="68" t="n"/>
      <ns0:c r="H96" s="68" t="n"/>
    </ns0:row>
    <ns0:row r="97" ht="32" customHeight="1" s="59">
      <ns0:c r="A97" s="74" t="n"/>
      <ns0:c r="B97" s="68" t="n"/>
      <ns0:c r="C97" s="68" t="n"/>
      <ns0:c r="D97" s="68" t="n"/>
      <ns0:c r="E97" s="69" t="n"/>
      <ns0:c r="F97" s="73" t="str">
        <ns0:f>IF(OR(D97="",E97=""),"",ROUND(D97*E97,2))</ns0:f>
        <ns0:v/>
      </ns0:c>
      <ns0:c r="G97" s="68" t="n"/>
      <ns0:c r="H97" s="68" t="n"/>
    </ns0:row>
    <ns0:row r="98" ht="32" customHeight="1" s="59">
      <ns0:c r="A98" s="74" t="n"/>
      <ns0:c r="B98" s="68" t="n"/>
      <ns0:c r="C98" s="68" t="n"/>
      <ns0:c r="D98" s="68" t="n"/>
      <ns0:c r="E98" s="69" t="n"/>
      <ns0:c r="F98" s="72" t="str">
        <ns0:f>IF(OR(D98="",E98=""),"",ROUND(D98*E98,2))</ns0:f>
        <ns0:v/>
      </ns0:c>
      <ns0:c r="G98" s="68" t="n"/>
      <ns0:c r="H98" s="68" t="n"/>
    </ns0:row>
    <ns0:row r="99" ht="32" customHeight="1" s="59">
      <ns0:c r="A99" s="74" t="n"/>
      <ns0:c r="B99" s="68" t="n"/>
      <ns0:c r="C99" s="68" t="n"/>
      <ns0:c r="D99" s="68" t="n"/>
      <ns0:c r="E99" s="69" t="n"/>
      <ns0:c r="F99" s="73" t="str">
        <ns0:f>IF(OR(D99="",E99=""),"",ROUND(D99*E99,2))</ns0:f>
        <ns0:v/>
      </ns0:c>
      <ns0:c r="G99" s="68" t="n"/>
      <ns0:c r="H99" s="68" t="n"/>
    </ns0:row>
    <ns0:row r="100" ht="32" customHeight="1" s="59">
      <ns0:c r="A100" s="74" t="n"/>
      <ns0:c r="B100" s="68" t="n"/>
      <ns0:c r="C100" s="68" t="n"/>
      <ns0:c r="D100" s="68" t="n"/>
      <ns0:c r="E100" s="69" t="n"/>
      <ns0:c r="F100" s="72" t="str">
        <ns0:f>IF(OR(D100="",E100=""),"",ROUND(D100*E100,2))</ns0:f>
        <ns0:v/>
      </ns0:c>
      <ns0:c r="G100" s="68" t="n"/>
      <ns0:c r="H100" s="68" t="n"/>
    </ns0:row>
    <ns0:row r="101" ht="32" customHeight="1" s="59">
      <ns0:c r="A101" s="74" t="n"/>
      <ns0:c r="B101" s="68" t="n"/>
      <ns0:c r="C101" s="68" t="n"/>
      <ns0:c r="D101" s="68" t="n"/>
      <ns0:c r="E101" s="69" t="n"/>
      <ns0:c r="F101" s="73" t="str">
        <ns0:f>IF(OR(D101="",E101=""),"",ROUND(D101*E101,2))</ns0:f>
        <ns0:v/>
      </ns0:c>
      <ns0:c r="G101" s="68" t="n"/>
      <ns0:c r="H101" s="68" t="n"/>
    </ns0:row>
    <ns0:row r="102" ht="32" customHeight="1" s="59">
      <ns0:c r="A102" s="74" t="n"/>
      <ns0:c r="B102" s="68" t="n"/>
      <ns0:c r="C102" s="68" t="n"/>
      <ns0:c r="D102" s="68" t="n"/>
      <ns0:c r="E102" s="69" t="n"/>
      <ns0:c r="F102" s="72" t="str">
        <ns0:f>IF(OR(D102="",E102=""),"",ROUND(D102*E102,2))</ns0:f>
        <ns0:v/>
      </ns0:c>
      <ns0:c r="G102" s="68" t="n"/>
      <ns0:c r="H102" s="68" t="n"/>
    </ns0:row>
    <ns0:row r="103" ht="32" customHeight="1" s="59">
      <ns0:c r="A103" s="74" t="n"/>
      <ns0:c r="B103" s="68" t="n"/>
      <ns0:c r="C103" s="68" t="n"/>
      <ns0:c r="D103" s="68" t="n"/>
      <ns0:c r="E103" s="69" t="n"/>
      <ns0:c r="F103" s="73" t="str">
        <ns0:f>IF(OR(D103="",E103=""),"",ROUND(D103*E103,2))</ns0:f>
        <ns0:v/>
      </ns0:c>
      <ns0:c r="G103" s="68" t="n"/>
      <ns0:c r="H103" s="68" t="n"/>
    </ns0:row>
    <ns0:row r="104" ht="32" customHeight="1" s="59">
      <ns0:c r="A104" s="74" t="n"/>
      <ns0:c r="B104" s="68" t="n"/>
      <ns0:c r="C104" s="68" t="n"/>
      <ns0:c r="D104" s="68" t="n"/>
      <ns0:c r="E104" s="69" t="n"/>
      <ns0:c r="F104" s="72" t="str">
        <ns0:f>IF(OR(D104="",E104=""),"",ROUND(D104*E104,2))</ns0:f>
        <ns0:v/>
      </ns0:c>
      <ns0:c r="G104" s="68" t="n"/>
      <ns0:c r="H104" s="68" t="n"/>
    </ns0:row>
    <ns0:row r="105" ht="32" customHeight="1" s="59">
      <ns0:c r="A105" s="74" t="n"/>
      <ns0:c r="B105" s="68" t="n"/>
      <ns0:c r="C105" s="68" t="n"/>
      <ns0:c r="D105" s="68" t="n"/>
      <ns0:c r="E105" s="69" t="n"/>
      <ns0:c r="F105" s="73" t="str">
        <ns0:f>IF(OR(D105="",E105=""),"",ROUND(D105*E105,2))</ns0:f>
        <ns0:v/>
      </ns0:c>
      <ns0:c r="G105" s="68" t="n"/>
      <ns0:c r="H105" s="68" t="n"/>
    </ns0:row>
    <ns0:row r="106" ht="32" customHeight="1" s="59">
      <ns0:c r="A106" s="74" t="n"/>
      <ns0:c r="B106" s="68" t="n"/>
      <ns0:c r="C106" s="68" t="n"/>
      <ns0:c r="D106" s="68" t="n"/>
      <ns0:c r="E106" s="69" t="n"/>
      <ns0:c r="F106" s="72" t="str">
        <ns0:f>IF(OR(D106="",E106=""),"",ROUND(D106*E106,2))</ns0:f>
        <ns0:v/>
      </ns0:c>
      <ns0:c r="G106" s="68" t="n"/>
      <ns0:c r="H106" s="68" t="n"/>
    </ns0:row>
    <ns0:row r="107" ht="32" customHeight="1" s="59">
      <ns0:c r="A107" s="74" t="n"/>
      <ns0:c r="B107" s="68" t="n"/>
      <ns0:c r="C107" s="68" t="n"/>
      <ns0:c r="D107" s="68" t="n"/>
      <ns0:c r="E107" s="69" t="n"/>
      <ns0:c r="F107" s="73" t="str">
        <ns0:f>IF(OR(D107="",E107=""),"",ROUND(D107*E107,2))</ns0:f>
        <ns0:v/>
      </ns0:c>
      <ns0:c r="G107" s="68" t="n"/>
      <ns0:c r="H107" s="68" t="n"/>
    </ns0:row>
    <ns0:row r="108" ht="32" customHeight="1" s="59">
      <ns0:c r="A108" s="74" t="n"/>
      <ns0:c r="B108" s="68" t="n"/>
      <ns0:c r="C108" s="68" t="n"/>
      <ns0:c r="D108" s="68" t="n"/>
      <ns0:c r="E108" s="69" t="n"/>
      <ns0:c r="F108" s="72" t="str">
        <ns0:f>IF(OR(D108="",E108=""),"",ROUND(D108*E108,2))</ns0:f>
        <ns0:v/>
      </ns0:c>
      <ns0:c r="G108" s="68" t="n"/>
      <ns0:c r="H108" s="68" t="n"/>
    </ns0:row>
    <ns0:row r="109" ht="32" customHeight="1" s="59">
      <ns0:c r="A109" s="74" t="n"/>
      <ns0:c r="B109" s="68" t="n"/>
      <ns0:c r="C109" s="68" t="n"/>
      <ns0:c r="D109" s="68" t="n"/>
      <ns0:c r="E109" s="69" t="n"/>
      <ns0:c r="F109" s="73" t="str">
        <ns0:f>IF(OR(D109="",E109=""),"",ROUND(D109*E109,2))</ns0:f>
        <ns0:v/>
      </ns0:c>
      <ns0:c r="G109" s="68" t="n"/>
      <ns0:c r="H109" s="68" t="n"/>
    </ns0:row>
    <ns0:row r="110" ht="32" customHeight="1" s="59">
      <ns0:c r="A110" s="74" t="n"/>
      <ns0:c r="B110" s="68" t="n"/>
      <ns0:c r="C110" s="68" t="n"/>
      <ns0:c r="D110" s="68" t="n"/>
      <ns0:c r="E110" s="69" t="n"/>
      <ns0:c r="F110" s="72" t="str">
        <ns0:f>IF(OR(D110="",E110=""),"",ROUND(D110*E110,2))</ns0:f>
        <ns0:v/>
      </ns0:c>
      <ns0:c r="G110" s="68" t="n"/>
      <ns0:c r="H110" s="68" t="n"/>
    </ns0:row>
    <ns0:row r="111" ht="32" customHeight="1" s="59">
      <ns0:c r="A111" s="74" t="n"/>
      <ns0:c r="B111" s="68" t="n"/>
      <ns0:c r="C111" s="68" t="n"/>
      <ns0:c r="D111" s="68" t="n"/>
      <ns0:c r="E111" s="69" t="n"/>
      <ns0:c r="F111" s="73" t="str">
        <ns0:f>IF(OR(D111="",E111=""),"",ROUND(D111*E111,2))</ns0:f>
        <ns0:v/>
      </ns0:c>
      <ns0:c r="G111" s="68" t="n"/>
      <ns0:c r="H111" s="68" t="n"/>
    </ns0:row>
    <ns0:row r="112" ht="32" customHeight="1" s="59">
      <ns0:c r="A112" s="74" t="n"/>
      <ns0:c r="B112" s="68" t="n"/>
      <ns0:c r="C112" s="68" t="n"/>
      <ns0:c r="D112" s="68" t="n"/>
      <ns0:c r="E112" s="69" t="n"/>
      <ns0:c r="F112" s="72" t="str">
        <ns0:f>IF(OR(D112="",E112=""),"",ROUND(D112*E112,2))</ns0:f>
        <ns0:v/>
      </ns0:c>
      <ns0:c r="G112" s="68" t="n"/>
      <ns0:c r="H112" s="68" t="n"/>
    </ns0:row>
    <ns0:row r="113" ht="32" customHeight="1" s="59">
      <ns0:c r="A113" s="74" t="n"/>
      <ns0:c r="B113" s="68" t="n"/>
      <ns0:c r="C113" s="68" t="n"/>
      <ns0:c r="D113" s="68" t="n"/>
      <ns0:c r="E113" s="69" t="n"/>
      <ns0:c r="F113" s="73" t="str">
        <ns0:f>IF(OR(D113="",E113=""),"",ROUND(D113*E113,2))</ns0:f>
        <ns0:v/>
      </ns0:c>
      <ns0:c r="G113" s="68" t="n"/>
      <ns0:c r="H113" s="68" t="n"/>
    </ns0:row>
    <ns0:row r="114" ht="32" customHeight="1" s="59">
      <ns0:c r="A114" s="74" t="n"/>
      <ns0:c r="B114" s="68" t="n"/>
      <ns0:c r="C114" s="68" t="n"/>
      <ns0:c r="D114" s="68" t="n"/>
      <ns0:c r="E114" s="69" t="n"/>
      <ns0:c r="F114" s="72" t="str">
        <ns0:f>IF(OR(D114="",E114=""),"",ROUND(D114*E114,2))</ns0:f>
        <ns0:v/>
      </ns0:c>
      <ns0:c r="G114" s="68" t="n"/>
      <ns0:c r="H114" s="68" t="n"/>
    </ns0:row>
    <ns0:row r="115" ht="32" customHeight="1" s="59">
      <ns0:c r="A115" s="74" t="n"/>
      <ns0:c r="B115" s="68" t="n"/>
      <ns0:c r="C115" s="68" t="n"/>
      <ns0:c r="D115" s="68" t="n"/>
      <ns0:c r="E115" s="69" t="n"/>
      <ns0:c r="F115" s="73" t="str">
        <ns0:f>IF(OR(D115="",E115=""),"",ROUND(D115*E115,2))</ns0:f>
        <ns0:v/>
      </ns0:c>
      <ns0:c r="G115" s="68" t="n"/>
      <ns0:c r="H115" s="68" t="n"/>
    </ns0:row>
    <ns0:row r="116" ht="32" customHeight="1" s="59">
      <ns0:c r="A116" s="74" t="n"/>
      <ns0:c r="B116" s="68" t="n"/>
      <ns0:c r="C116" s="68" t="n"/>
      <ns0:c r="D116" s="68" t="n"/>
      <ns0:c r="E116" s="69" t="n"/>
      <ns0:c r="F116" s="72" t="str">
        <ns0:f>IF(OR(D116="",E116=""),"",ROUND(D116*E116,2))</ns0:f>
        <ns0:v/>
      </ns0:c>
      <ns0:c r="G116" s="68" t="n"/>
      <ns0:c r="H116" s="68" t="n"/>
    </ns0:row>
    <ns0:row r="117" ht="32" customHeight="1" s="59">
      <ns0:c r="A117" s="74" t="n"/>
      <ns0:c r="B117" s="68" t="n"/>
      <ns0:c r="C117" s="68" t="n"/>
      <ns0:c r="D117" s="68" t="n"/>
      <ns0:c r="E117" s="69" t="n"/>
      <ns0:c r="F117" s="73" t="str">
        <ns0:f>IF(OR(D117="",E117=""),"",ROUND(D117*E117,2))</ns0:f>
        <ns0:v/>
      </ns0:c>
      <ns0:c r="G117" s="68" t="n"/>
      <ns0:c r="H117" s="68" t="n"/>
    </ns0:row>
    <ns0:row r="118" ht="32" customHeight="1" s="59">
      <ns0:c r="A118" s="74" t="n"/>
      <ns0:c r="B118" s="68" t="n"/>
      <ns0:c r="C118" s="68" t="n"/>
      <ns0:c r="D118" s="68" t="n"/>
      <ns0:c r="E118" s="69" t="n"/>
      <ns0:c r="F118" s="72" t="str">
        <ns0:f>IF(OR(D118="",E118=""),"",ROUND(D118*E118,2))</ns0:f>
        <ns0:v/>
      </ns0:c>
      <ns0:c r="G118" s="68" t="n"/>
      <ns0:c r="H118" s="68" t="n"/>
    </ns0:row>
    <ns0:row r="119" ht="32" customHeight="1" s="59">
      <ns0:c r="A119" s="74" t="n"/>
      <ns0:c r="B119" s="68" t="n"/>
      <ns0:c r="C119" s="68" t="n"/>
      <ns0:c r="D119" s="68" t="n"/>
      <ns0:c r="E119" s="69" t="n"/>
      <ns0:c r="F119" s="73" t="str">
        <ns0:f>IF(OR(D119="",E119=""),"",ROUND(D119*E119,2))</ns0:f>
        <ns0:v/>
      </ns0:c>
      <ns0:c r="G119" s="68" t="n"/>
      <ns0:c r="H119" s="68" t="n"/>
    </ns0:row>
    <ns0:row r="120" ht="32" customHeight="1" s="59">
      <ns0:c r="A120" s="74" t="n"/>
      <ns0:c r="B120" s="68" t="n"/>
      <ns0:c r="C120" s="68" t="n"/>
      <ns0:c r="D120" s="68" t="n"/>
      <ns0:c r="E120" s="69" t="n"/>
      <ns0:c r="F120" s="72" t="str">
        <ns0:f>IF(OR(D120="",E120=""),"",ROUND(D120*E120,2))</ns0:f>
        <ns0:v/>
      </ns0:c>
      <ns0:c r="G120" s="68" t="n"/>
      <ns0:c r="H120" s="68" t="n"/>
    </ns0:row>
    <ns0:row r="121" ht="32" customHeight="1" s="59">
      <ns0:c r="A121" s="74" t="n"/>
      <ns0:c r="B121" s="68" t="n"/>
      <ns0:c r="C121" s="68" t="n"/>
      <ns0:c r="D121" s="68" t="n"/>
      <ns0:c r="E121" s="69" t="n"/>
      <ns0:c r="F121" s="73" t="str">
        <ns0:f>IF(OR(D121="",E121=""),"",ROUND(D121*E121,2))</ns0:f>
        <ns0:v/>
      </ns0:c>
      <ns0:c r="G121" s="68" t="n"/>
      <ns0:c r="H121" s="68" t="n"/>
    </ns0:row>
    <ns0:row r="122" ht="32" customHeight="1" s="59">
      <ns0:c r="A122" s="74" t="n"/>
      <ns0:c r="B122" s="68" t="n"/>
      <ns0:c r="C122" s="68" t="n"/>
      <ns0:c r="D122" s="68" t="n"/>
      <ns0:c r="E122" s="69" t="n"/>
      <ns0:c r="F122" s="72" t="str">
        <ns0:f>IF(OR(D122="",E122=""),"",ROUND(D122*E122,2))</ns0:f>
        <ns0:v/>
      </ns0:c>
      <ns0:c r="G122" s="68" t="n"/>
      <ns0:c r="H122" s="68" t="n"/>
    </ns0:row>
    <ns0:row r="123" ht="32" customHeight="1" s="59">
      <ns0:c r="A123" s="74" t="n"/>
      <ns0:c r="B123" s="68" t="n"/>
      <ns0:c r="C123" s="68" t="n"/>
      <ns0:c r="D123" s="68" t="n"/>
      <ns0:c r="E123" s="69" t="n"/>
      <ns0:c r="F123" s="73" t="str">
        <ns0:f>IF(OR(D123="",E123=""),"",ROUND(D123*E123,2))</ns0:f>
        <ns0:v/>
      </ns0:c>
      <ns0:c r="G123" s="68" t="n"/>
      <ns0:c r="H123" s="68" t="n"/>
    </ns0:row>
    <ns0:row r="124" ht="32" customHeight="1" s="59">
      <ns0:c r="A124" s="74" t="n"/>
      <ns0:c r="B124" s="68" t="n"/>
      <ns0:c r="C124" s="68" t="n"/>
      <ns0:c r="D124" s="68" t="n"/>
      <ns0:c r="E124" s="69" t="n"/>
      <ns0:c r="F124" s="72" t="str">
        <ns0:f>IF(OR(D124="",E124=""),"",ROUND(D124*E124,2))</ns0:f>
        <ns0:v/>
      </ns0:c>
      <ns0:c r="G124" s="68" t="n"/>
      <ns0:c r="H124" s="68" t="n"/>
    </ns0:row>
    <ns0:row r="125" ht="32" customHeight="1" s="59">
      <ns0:c r="A125" s="74" t="n"/>
      <ns0:c r="B125" s="68" t="n"/>
      <ns0:c r="C125" s="68" t="n"/>
      <ns0:c r="D125" s="68" t="n"/>
      <ns0:c r="E125" s="69" t="n"/>
      <ns0:c r="F125" s="73" t="str">
        <ns0:f>IF(OR(D125="",E125=""),"",ROUND(D125*E125,2))</ns0:f>
        <ns0:v/>
      </ns0:c>
      <ns0:c r="G125" s="68" t="n"/>
      <ns0:c r="H125" s="68" t="n"/>
    </ns0:row>
    <ns0:row r="126" ht="32" customHeight="1" s="59">
      <ns0:c r="A126" s="74" t="n"/>
      <ns0:c r="B126" s="68" t="n"/>
      <ns0:c r="C126" s="68" t="n"/>
      <ns0:c r="D126" s="68" t="n"/>
      <ns0:c r="E126" s="69" t="n"/>
      <ns0:c r="F126" s="72" t="str">
        <ns0:f>IF(OR(D126="",E126=""),"",ROUND(D126*E126,2))</ns0:f>
        <ns0:v/>
      </ns0:c>
      <ns0:c r="G126" s="68" t="n"/>
      <ns0:c r="H126" s="68" t="n"/>
    </ns0:row>
    <ns0:row r="127" ht="32" customHeight="1" s="59">
      <ns0:c r="A127" s="74" t="n"/>
      <ns0:c r="B127" s="68" t="n"/>
      <ns0:c r="C127" s="68" t="n"/>
      <ns0:c r="D127" s="68" t="n"/>
      <ns0:c r="E127" s="69" t="n"/>
      <ns0:c r="F127" s="73" t="str">
        <ns0:f>IF(OR(D127="",E127=""),"",ROUND(D127*E127,2))</ns0:f>
        <ns0:v/>
      </ns0:c>
      <ns0:c r="G127" s="68" t="n"/>
      <ns0:c r="H127" s="68" t="n"/>
    </ns0:row>
    <ns0:row r="128" ht="32" customHeight="1" s="59">
      <ns0:c r="A128" s="74" t="n"/>
      <ns0:c r="B128" s="68" t="n"/>
      <ns0:c r="C128" s="68" t="n"/>
      <ns0:c r="D128" s="68" t="n"/>
      <ns0:c r="E128" s="69" t="n"/>
      <ns0:c r="F128" s="72" t="str">
        <ns0:f>IF(OR(D128="",E128=""),"",ROUND(D128*E128,2))</ns0:f>
        <ns0:v/>
      </ns0:c>
      <ns0:c r="G128" s="68" t="n"/>
      <ns0:c r="H128" s="68" t="n"/>
    </ns0:row>
    <ns0:row r="129" ht="32" customHeight="1" s="59">
      <ns0:c r="A129" s="74" t="n"/>
      <ns0:c r="B129" s="68" t="n"/>
      <ns0:c r="C129" s="68" t="n"/>
      <ns0:c r="D129" s="68" t="n"/>
      <ns0:c r="E129" s="69" t="n"/>
      <ns0:c r="F129" s="73" t="str">
        <ns0:f>IF(OR(D129="",E129=""),"",ROUND(D129*E129,2))</ns0:f>
        <ns0:v/>
      </ns0:c>
      <ns0:c r="G129" s="68" t="n"/>
      <ns0:c r="H129" s="68" t="n"/>
    </ns0:row>
    <ns0:row r="130" ht="32" customHeight="1" s="59">
      <ns0:c r="A130" s="74" t="n"/>
      <ns0:c r="B130" s="68" t="n"/>
      <ns0:c r="C130" s="68" t="n"/>
      <ns0:c r="D130" s="68" t="n"/>
      <ns0:c r="E130" s="69" t="n"/>
      <ns0:c r="F130" s="72" t="str">
        <ns0:f>IF(OR(D130="",E130=""),"",ROUND(D130*E130,2))</ns0:f>
        <ns0:v/>
      </ns0:c>
      <ns0:c r="G130" s="68" t="n"/>
      <ns0:c r="H130" s="68" t="n"/>
    </ns0:row>
    <ns0:row r="131" ht="32" customHeight="1" s="59">
      <ns0:c r="A131" s="74" t="n"/>
      <ns0:c r="B131" s="68" t="n"/>
      <ns0:c r="C131" s="68" t="n"/>
      <ns0:c r="D131" s="68" t="n"/>
      <ns0:c r="E131" s="69" t="n"/>
      <ns0:c r="F131" s="73" t="str">
        <ns0:f>IF(OR(D131="",E131=""),"",ROUND(D131*E131,2))</ns0:f>
        <ns0:v/>
      </ns0:c>
      <ns0:c r="G131" s="68" t="n"/>
      <ns0:c r="H131" s="68" t="n"/>
    </ns0:row>
    <ns0:row r="132" ht="32" customHeight="1" s="59">
      <ns0:c r="A132" s="74" t="n"/>
      <ns0:c r="B132" s="68" t="n"/>
      <ns0:c r="C132" s="68" t="n"/>
      <ns0:c r="D132" s="68" t="n"/>
      <ns0:c r="E132" s="69" t="n"/>
      <ns0:c r="F132" s="72" t="str">
        <ns0:f>IF(OR(D132="",E132=""),"",ROUND(D132*E132,2))</ns0:f>
        <ns0:v/>
      </ns0:c>
      <ns0:c r="G132" s="68" t="n"/>
      <ns0:c r="H132" s="68" t="n"/>
    </ns0:row>
    <ns0:row r="133" ht="32" customHeight="1" s="59">
      <ns0:c r="A133" s="74" t="n"/>
      <ns0:c r="B133" s="68" t="n"/>
      <ns0:c r="C133" s="68" t="n"/>
      <ns0:c r="D133" s="68" t="n"/>
      <ns0:c r="E133" s="69" t="n"/>
      <ns0:c r="F133" s="73" t="str">
        <ns0:f>IF(OR(D133="",E133=""),"",ROUND(D133*E133,2))</ns0:f>
        <ns0:v/>
      </ns0:c>
      <ns0:c r="G133" s="68" t="n"/>
      <ns0:c r="H133" s="68" t="n"/>
    </ns0:row>
    <ns0:row r="134" ht="32" customHeight="1" s="59">
      <ns0:c r="A134" s="74" t="n"/>
      <ns0:c r="B134" s="68" t="n"/>
      <ns0:c r="C134" s="68" t="n"/>
      <ns0:c r="D134" s="68" t="n"/>
      <ns0:c r="E134" s="69" t="n"/>
      <ns0:c r="F134" s="72" t="str">
        <ns0:f>IF(OR(D134="",E134=""),"",ROUND(D134*E134,2))</ns0:f>
        <ns0:v/>
      </ns0:c>
      <ns0:c r="G134" s="68" t="n"/>
      <ns0:c r="H134" s="68" t="n"/>
    </ns0:row>
    <ns0:row r="135" ht="32" customHeight="1" s="59">
      <ns0:c r="A135" s="74" t="n"/>
      <ns0:c r="B135" s="68" t="n"/>
      <ns0:c r="C135" s="68" t="n"/>
      <ns0:c r="D135" s="68" t="n"/>
      <ns0:c r="E135" s="69" t="n"/>
      <ns0:c r="F135" s="73" t="str">
        <ns0:f>IF(OR(D135="",E135=""),"",ROUND(D135*E135,2))</ns0:f>
        <ns0:v/>
      </ns0:c>
      <ns0:c r="G135" s="68" t="n"/>
      <ns0:c r="H135" s="68" t="n"/>
    </ns0:row>
    <ns0:row r="136" ht="32" customHeight="1" s="59">
      <ns0:c r="A136" s="74" t="n"/>
      <ns0:c r="B136" s="68" t="n"/>
      <ns0:c r="C136" s="68" t="n"/>
      <ns0:c r="D136" s="68" t="n"/>
      <ns0:c r="E136" s="69" t="n"/>
      <ns0:c r="F136" s="72" t="str">
        <ns0:f>IF(OR(D136="",E136=""),"",ROUND(D136*E136,2))</ns0:f>
        <ns0:v/>
      </ns0:c>
      <ns0:c r="G136" s="68" t="n"/>
      <ns0:c r="H136" s="68" t="n"/>
    </ns0:row>
    <ns0:row r="137" ht="32" customHeight="1" s="59">
      <ns0:c r="A137" s="74" t="n"/>
      <ns0:c r="B137" s="68" t="n"/>
      <ns0:c r="C137" s="68" t="n"/>
      <ns0:c r="D137" s="68" t="n"/>
      <ns0:c r="E137" s="69" t="n"/>
      <ns0:c r="F137" s="73" t="str">
        <ns0:f>IF(OR(D137="",E137=""),"",ROUND(D137*E137,2))</ns0:f>
        <ns0:v/>
      </ns0:c>
      <ns0:c r="G137" s="68" t="n"/>
      <ns0:c r="H137" s="68" t="n"/>
    </ns0:row>
    <ns0:row r="138" ht="32" customHeight="1" s="59">
      <ns0:c r="A138" s="74" t="n"/>
      <ns0:c r="B138" s="68" t="n"/>
      <ns0:c r="C138" s="68" t="n"/>
      <ns0:c r="D138" s="68" t="n"/>
      <ns0:c r="E138" s="69" t="n"/>
      <ns0:c r="F138" s="72" t="str">
        <ns0:f>IF(OR(D138="",E138=""),"",ROUND(D138*E138,2))</ns0:f>
        <ns0:v/>
      </ns0:c>
      <ns0:c r="G138" s="68" t="n"/>
      <ns0:c r="H138" s="68" t="n"/>
    </ns0:row>
    <ns0:row r="139" ht="32" customHeight="1" s="59">
      <ns0:c r="A139" s="74" t="n"/>
      <ns0:c r="B139" s="68" t="n"/>
      <ns0:c r="C139" s="68" t="n"/>
      <ns0:c r="D139" s="68" t="n"/>
      <ns0:c r="E139" s="69" t="n"/>
      <ns0:c r="F139" s="73" t="str">
        <ns0:f>IF(OR(D139="",E139=""),"",ROUND(D139*E139,2))</ns0:f>
        <ns0:v/>
      </ns0:c>
      <ns0:c r="G139" s="68" t="n"/>
      <ns0:c r="H139" s="68" t="n"/>
    </ns0:row>
    <ns0:row r="140" ht="32" customHeight="1" s="59">
      <ns0:c r="A140" s="74" t="n"/>
      <ns0:c r="B140" s="68" t="n"/>
      <ns0:c r="C140" s="68" t="n"/>
      <ns0:c r="D140" s="68" t="n"/>
      <ns0:c r="E140" s="69" t="n"/>
      <ns0:c r="F140" s="72" t="str">
        <ns0:f>IF(OR(D140="",E140=""),"",ROUND(D140*E140,2))</ns0:f>
        <ns0:v/>
      </ns0:c>
      <ns0:c r="G140" s="68" t="n"/>
      <ns0:c r="H140" s="68" t="n"/>
    </ns0:row>
    <ns0:row r="141" ht="32" customHeight="1" s="59">
      <ns0:c r="A141" s="74" t="n"/>
      <ns0:c r="B141" s="68" t="n"/>
      <ns0:c r="C141" s="68" t="n"/>
      <ns0:c r="D141" s="68" t="n"/>
      <ns0:c r="E141" s="69" t="n"/>
      <ns0:c r="F141" s="73" t="str">
        <ns0:f>IF(OR(D141="",E141=""),"",ROUND(D141*E141,2))</ns0:f>
        <ns0:v/>
      </ns0:c>
      <ns0:c r="G141" s="68" t="n"/>
      <ns0:c r="H141" s="68" t="n"/>
    </ns0:row>
    <ns0:row r="142" ht="32" customHeight="1" s="59">
      <ns0:c r="A142" s="74" t="n"/>
      <ns0:c r="B142" s="68" t="n"/>
      <ns0:c r="C142" s="68" t="n"/>
      <ns0:c r="D142" s="68" t="n"/>
      <ns0:c r="E142" s="69" t="n"/>
      <ns0:c r="F142" s="72" t="str">
        <ns0:f>IF(OR(D142="",E142=""),"",ROUND(D142*E142,2))</ns0:f>
        <ns0:v/>
      </ns0:c>
      <ns0:c r="G142" s="68" t="n"/>
      <ns0:c r="H142" s="68" t="n"/>
    </ns0:row>
    <ns0:row r="143" ht="32" customHeight="1" s="59">
      <ns0:c r="A143" s="74" t="n"/>
      <ns0:c r="B143" s="68" t="n"/>
      <ns0:c r="C143" s="68" t="n"/>
      <ns0:c r="D143" s="68" t="n"/>
      <ns0:c r="E143" s="69" t="n"/>
      <ns0:c r="F143" s="73" t="str">
        <ns0:f>IF(OR(D143="",E143=""),"",ROUND(D143*E143,2))</ns0:f>
        <ns0:v/>
      </ns0:c>
      <ns0:c r="G143" s="68" t="n"/>
      <ns0:c r="H143" s="68" t="n"/>
    </ns0:row>
    <ns0:row r="144" ht="32" customHeight="1" s="59">
      <ns0:c r="A144" s="74" t="n"/>
      <ns0:c r="B144" s="68" t="n"/>
      <ns0:c r="C144" s="68" t="n"/>
      <ns0:c r="D144" s="68" t="n"/>
      <ns0:c r="E144" s="69" t="n"/>
      <ns0:c r="F144" s="72" t="str">
        <ns0:f>IF(OR(D144="",E144=""),"",ROUND(D144*E144,2))</ns0:f>
        <ns0:v/>
      </ns0:c>
      <ns0:c r="G144" s="68" t="n"/>
      <ns0:c r="H144" s="68" t="n"/>
    </ns0:row>
    <ns0:row r="145" ht="32" customHeight="1" s="59">
      <ns0:c r="A145" s="74" t="n"/>
      <ns0:c r="B145" s="68" t="n"/>
      <ns0:c r="C145" s="68" t="n"/>
      <ns0:c r="D145" s="68" t="n"/>
      <ns0:c r="E145" s="69" t="n"/>
      <ns0:c r="F145" s="73" t="str">
        <ns0:f>IF(OR(D145="",E145=""),"",ROUND(D145*E145,2))</ns0:f>
        <ns0:v/>
      </ns0:c>
      <ns0:c r="G145" s="68" t="n"/>
      <ns0:c r="H145" s="68" t="n"/>
    </ns0:row>
    <ns0:row r="146" ht="32" customHeight="1" s="59">
      <ns0:c r="A146" s="74" t="n"/>
      <ns0:c r="B146" s="68" t="n"/>
      <ns0:c r="C146" s="68" t="n"/>
      <ns0:c r="D146" s="68" t="n"/>
      <ns0:c r="E146" s="69" t="n"/>
      <ns0:c r="F146" s="72" t="str">
        <ns0:f>IF(OR(D146="",E146=""),"",ROUND(D146*E146,2))</ns0:f>
        <ns0:v/>
      </ns0:c>
      <ns0:c r="G146" s="68" t="n"/>
      <ns0:c r="H146" s="68" t="n"/>
    </ns0:row>
    <ns0:row r="147" ht="32" customHeight="1" s="59">
      <ns0:c r="A147" s="74" t="n"/>
      <ns0:c r="B147" s="68" t="n"/>
      <ns0:c r="C147" s="68" t="n"/>
      <ns0:c r="D147" s="68" t="n"/>
      <ns0:c r="E147" s="69" t="n"/>
      <ns0:c r="F147" s="73" t="str">
        <ns0:f>IF(OR(D147="",E147=""),"",ROUND(D147*E147,2))</ns0:f>
        <ns0:v/>
      </ns0:c>
      <ns0:c r="G147" s="68" t="n"/>
      <ns0:c r="H147" s="68" t="n"/>
    </ns0:row>
    <ns0:row r="148" ht="32" customHeight="1" s="59">
      <ns0:c r="A148" s="74" t="n"/>
      <ns0:c r="B148" s="68" t="n"/>
      <ns0:c r="C148" s="68" t="n"/>
      <ns0:c r="D148" s="68" t="n"/>
      <ns0:c r="E148" s="69" t="n"/>
      <ns0:c r="F148" s="72" t="str">
        <ns0:f>IF(OR(D148="",E148=""),"",ROUND(D148*E148,2))</ns0:f>
        <ns0:v/>
      </ns0:c>
      <ns0:c r="G148" s="68" t="n"/>
      <ns0:c r="H148" s="68" t="n"/>
    </ns0:row>
    <ns0:row r="149" ht="32" customHeight="1" s="59">
      <ns0:c r="A149" s="74" t="n"/>
      <ns0:c r="B149" s="68" t="n"/>
      <ns0:c r="C149" s="68" t="n"/>
      <ns0:c r="D149" s="68" t="n"/>
      <ns0:c r="E149" s="69" t="n"/>
      <ns0:c r="F149" s="73" t="str">
        <ns0:f>IF(OR(D149="",E149=""),"",ROUND(D149*E149,2))</ns0:f>
        <ns0:v/>
      </ns0:c>
      <ns0:c r="G149" s="68" t="n"/>
      <ns0:c r="H149" s="68" t="n"/>
    </ns0:row>
    <ns0:row r="150" ht="32" customHeight="1" s="59">
      <ns0:c r="A150" s="74" t="n"/>
      <ns0:c r="B150" s="68" t="n"/>
      <ns0:c r="C150" s="68" t="n"/>
      <ns0:c r="D150" s="68" t="n"/>
      <ns0:c r="E150" s="69" t="n"/>
      <ns0:c r="F150" s="72" t="str">
        <ns0:f>IF(OR(D150="",E150=""),"",ROUND(D150*E150,2))</ns0:f>
        <ns0:v/>
      </ns0:c>
      <ns0:c r="G150" s="68" t="n"/>
      <ns0:c r="H150" s="68" t="n"/>
    </ns0:row>
    <ns0:row r="151" ht="32" customHeight="1" s="59">
      <ns0:c r="A151" s="74" t="n"/>
      <ns0:c r="B151" s="68" t="n"/>
      <ns0:c r="C151" s="68" t="n"/>
      <ns0:c r="D151" s="68" t="n"/>
      <ns0:c r="E151" s="69" t="n"/>
      <ns0:c r="F151" s="73" t="str">
        <ns0:f>IF(OR(D151="",E151=""),"",ROUND(D151*E151,2))</ns0:f>
        <ns0:v/>
      </ns0:c>
      <ns0:c r="G151" s="68" t="n"/>
      <ns0:c r="H151" s="68" t="n"/>
    </ns0:row>
    <ns0:row r="152" ht="32" customHeight="1" s="59">
      <ns0:c r="A152" s="74" t="n"/>
      <ns0:c r="B152" s="68" t="n"/>
      <ns0:c r="C152" s="68" t="n"/>
      <ns0:c r="D152" s="68" t="n"/>
      <ns0:c r="E152" s="69" t="n"/>
      <ns0:c r="F152" s="72" t="str">
        <ns0:f>IF(OR(D152="",E152=""),"",ROUND(D152*E152,2))</ns0:f>
        <ns0:v/>
      </ns0:c>
      <ns0:c r="G152" s="68" t="n"/>
      <ns0:c r="H152" s="68" t="n"/>
    </ns0:row>
    <ns0:row r="153" ht="32" customHeight="1" s="59">
      <ns0:c r="A153" s="74" t="n"/>
      <ns0:c r="B153" s="68" t="n"/>
      <ns0:c r="C153" s="68" t="n"/>
      <ns0:c r="D153" s="68" t="n"/>
      <ns0:c r="E153" s="69" t="n"/>
      <ns0:c r="F153" s="73" t="str">
        <ns0:f>IF(OR(D153="",E153=""),"",ROUND(D153*E153,2))</ns0:f>
        <ns0:v/>
      </ns0:c>
      <ns0:c r="G153" s="68" t="n"/>
      <ns0:c r="H153" s="68" t="n"/>
    </ns0:row>
    <ns0:row r="154" ht="32" customHeight="1" s="59">
      <ns0:c r="A154" s="74" t="n"/>
      <ns0:c r="B154" s="68" t="n"/>
      <ns0:c r="C154" s="68" t="n"/>
      <ns0:c r="D154" s="68" t="n"/>
      <ns0:c r="E154" s="69" t="n"/>
      <ns0:c r="F154" s="72" t="str">
        <ns0:f>IF(OR(D154="",E154=""),"",ROUND(D154*E154,2))</ns0:f>
        <ns0:v/>
      </ns0:c>
      <ns0:c r="G154" s="68" t="n"/>
      <ns0:c r="H154" s="68" t="n"/>
    </ns0:row>
    <ns0:row r="155" ht="32" customHeight="1" s="59">
      <ns0:c r="A155" s="74" t="n"/>
      <ns0:c r="B155" s="68" t="n"/>
      <ns0:c r="C155" s="68" t="n"/>
      <ns0:c r="D155" s="68" t="n"/>
      <ns0:c r="E155" s="69" t="n"/>
      <ns0:c r="F155" s="73" t="str">
        <ns0:f>IF(OR(D155="",E155=""),"",ROUND(D155*E155,2))</ns0:f>
        <ns0:v/>
      </ns0:c>
      <ns0:c r="G155" s="68" t="n"/>
      <ns0:c r="H155" s="68" t="n"/>
    </ns0:row>
    <ns0:row r="156" ht="32" customHeight="1" s="59">
      <ns0:c r="A156" s="74" t="n"/>
      <ns0:c r="B156" s="68" t="n"/>
      <ns0:c r="C156" s="68" t="n"/>
      <ns0:c r="D156" s="68" t="n"/>
      <ns0:c r="E156" s="69" t="n"/>
      <ns0:c r="F156" s="72" t="str">
        <ns0:f>IF(OR(D156="",E156=""),"",ROUND(D156*E156,2))</ns0:f>
        <ns0:v/>
      </ns0:c>
      <ns0:c r="G156" s="68" t="n"/>
      <ns0:c r="H156" s="68" t="n"/>
    </ns0:row>
    <ns0:row r="157" ht="32" customHeight="1" s="59">
      <ns0:c r="A157" s="74" t="n"/>
      <ns0:c r="B157" s="68" t="n"/>
      <ns0:c r="C157" s="68" t="n"/>
      <ns0:c r="D157" s="68" t="n"/>
      <ns0:c r="E157" s="69" t="n"/>
      <ns0:c r="F157" s="73" t="str">
        <ns0:f>IF(OR(D157="",E157=""),"",ROUND(D157*E157,2))</ns0:f>
        <ns0:v/>
      </ns0:c>
      <ns0:c r="G157" s="68" t="n"/>
      <ns0:c r="H157" s="68" t="n"/>
    </ns0:row>
    <ns0:row r="158" ht="32" customHeight="1" s="59">
      <ns0:c r="A158" s="74" t="n"/>
      <ns0:c r="B158" s="68" t="n"/>
      <ns0:c r="C158" s="68" t="n"/>
      <ns0:c r="D158" s="68" t="n"/>
      <ns0:c r="E158" s="69" t="n"/>
      <ns0:c r="F158" s="72" t="str">
        <ns0:f>IF(OR(D158="",E158=""),"",ROUND(D158*E158,2))</ns0:f>
        <ns0:v/>
      </ns0:c>
      <ns0:c r="G158" s="68" t="n"/>
      <ns0:c r="H158" s="68" t="n"/>
    </ns0:row>
    <ns0:row r="159" ht="32" customHeight="1" s="59">
      <ns0:c r="A159" s="74" t="n"/>
      <ns0:c r="B159" s="68" t="n"/>
      <ns0:c r="C159" s="68" t="n"/>
      <ns0:c r="D159" s="68" t="n"/>
      <ns0:c r="E159" s="69" t="n"/>
      <ns0:c r="F159" s="73" t="str">
        <ns0:f>IF(OR(D159="",E159=""),"",ROUND(D159*E159,2))</ns0:f>
        <ns0:v/>
      </ns0:c>
      <ns0:c r="G159" s="68" t="n"/>
      <ns0:c r="H159" s="68" t="n"/>
    </ns0:row>
    <ns0:row r="160" ht="32" customHeight="1" s="59">
      <ns0:c r="A160" s="74" t="n"/>
      <ns0:c r="B160" s="68" t="n"/>
      <ns0:c r="C160" s="68" t="n"/>
      <ns0:c r="D160" s="68" t="n"/>
      <ns0:c r="E160" s="69" t="n"/>
      <ns0:c r="F160" s="72" t="str">
        <ns0:f>IF(OR(D160="",E160=""),"",ROUND(D160*E160,2))</ns0:f>
        <ns0:v/>
      </ns0:c>
      <ns0:c r="G160" s="68" t="n"/>
      <ns0:c r="H160" s="68" t="n"/>
    </ns0:row>
    <ns0:row r="161" ht="32" customHeight="1" s="59">
      <ns0:c r="A161" s="74" t="n"/>
      <ns0:c r="B161" s="68" t="n"/>
      <ns0:c r="C161" s="68" t="n"/>
      <ns0:c r="D161" s="68" t="n"/>
      <ns0:c r="E161" s="69" t="n"/>
      <ns0:c r="F161" s="73" t="str">
        <ns0:f>IF(OR(D161="",E161=""),"",ROUND(D161*E161,2))</ns0:f>
        <ns0:v/>
      </ns0:c>
      <ns0:c r="G161" s="68" t="n"/>
      <ns0:c r="H161" s="68" t="n"/>
    </ns0:row>
    <ns0:row r="162" ht="32" customHeight="1" s="59">
      <ns0:c r="A162" s="74" t="n"/>
      <ns0:c r="B162" s="68" t="n"/>
      <ns0:c r="C162" s="68" t="n"/>
      <ns0:c r="D162" s="68" t="n"/>
      <ns0:c r="E162" s="69" t="n"/>
      <ns0:c r="F162" s="72" t="str">
        <ns0:f>IF(OR(D162="",E162=""),"",ROUND(D162*E162,2))</ns0:f>
        <ns0:v/>
      </ns0:c>
      <ns0:c r="G162" s="68" t="n"/>
      <ns0:c r="H162" s="68" t="n"/>
    </ns0:row>
    <ns0:row r="163" ht="32" customHeight="1" s="59">
      <ns0:c r="A163" s="74" t="n"/>
      <ns0:c r="B163" s="68" t="n"/>
      <ns0:c r="C163" s="68" t="n"/>
      <ns0:c r="D163" s="68" t="n"/>
      <ns0:c r="E163" s="69" t="n"/>
      <ns0:c r="F163" s="73" t="str">
        <ns0:f>IF(OR(D163="",E163=""),"",ROUND(D163*E163,2))</ns0:f>
        <ns0:v/>
      </ns0:c>
      <ns0:c r="G163" s="68" t="n"/>
      <ns0:c r="H163" s="68" t="n"/>
    </ns0:row>
    <ns0:row r="164" ht="32" customHeight="1" s="59">
      <ns0:c r="A164" s="74" t="n"/>
      <ns0:c r="B164" s="68" t="n"/>
      <ns0:c r="C164" s="68" t="n"/>
      <ns0:c r="D164" s="68" t="n"/>
      <ns0:c r="E164" s="69" t="n"/>
      <ns0:c r="F164" s="72" t="str">
        <ns0:f>IF(OR(D164="",E164=""),"",ROUND(D164*E164,2))</ns0:f>
        <ns0:v/>
      </ns0:c>
      <ns0:c r="G164" s="68" t="n"/>
      <ns0:c r="H164" s="68" t="n"/>
    </ns0:row>
    <ns0:row r="165" ht="32" customHeight="1" s="59">
      <ns0:c r="A165" s="74" t="n"/>
      <ns0:c r="B165" s="68" t="n"/>
      <ns0:c r="C165" s="68" t="n"/>
      <ns0:c r="D165" s="68" t="n"/>
      <ns0:c r="E165" s="69" t="n"/>
      <ns0:c r="F165" s="73" t="str">
        <ns0:f>IF(OR(D165="",E165=""),"",ROUND(D165*E165,2))</ns0:f>
        <ns0:v/>
      </ns0:c>
      <ns0:c r="G165" s="68" t="n"/>
      <ns0:c r="H165" s="68" t="n"/>
    </ns0:row>
    <ns0:row r="166" ht="32" customHeight="1" s="59">
      <ns0:c r="A166" s="74" t="n"/>
      <ns0:c r="B166" s="68" t="n"/>
      <ns0:c r="C166" s="68" t="n"/>
      <ns0:c r="D166" s="68" t="n"/>
      <ns0:c r="E166" s="69" t="n"/>
      <ns0:c r="F166" s="72" t="str">
        <ns0:f>IF(OR(D166="",E166=""),"",ROUND(D166*E166,2))</ns0:f>
        <ns0:v/>
      </ns0:c>
      <ns0:c r="G166" s="68" t="n"/>
      <ns0:c r="H166" s="68" t="n"/>
    </ns0:row>
    <ns0:row r="167" ht="32" customHeight="1" s="59">
      <ns0:c r="A167" s="74" t="n"/>
      <ns0:c r="B167" s="68" t="n"/>
      <ns0:c r="C167" s="68" t="n"/>
      <ns0:c r="D167" s="68" t="n"/>
      <ns0:c r="E167" s="69" t="n"/>
      <ns0:c r="F167" s="73" t="str">
        <ns0:f>IF(OR(D167="",E167=""),"",ROUND(D167*E167,2))</ns0:f>
        <ns0:v/>
      </ns0:c>
      <ns0:c r="G167" s="68" t="n"/>
      <ns0:c r="H167" s="68" t="n"/>
    </ns0:row>
    <ns0:row r="168" ht="32" customHeight="1" s="59">
      <ns0:c r="A168" s="74" t="n"/>
      <ns0:c r="B168" s="68" t="n"/>
      <ns0:c r="C168" s="68" t="n"/>
      <ns0:c r="D168" s="68" t="n"/>
      <ns0:c r="E168" s="69" t="n"/>
      <ns0:c r="F168" s="72" t="str">
        <ns0:f>IF(OR(D168="",E168=""),"",ROUND(D168*E168,2))</ns0:f>
        <ns0:v/>
      </ns0:c>
      <ns0:c r="G168" s="68" t="n"/>
      <ns0:c r="H168" s="68" t="n"/>
    </ns0:row>
    <ns0:row r="169" ht="32" customHeight="1" s="59">
      <ns0:c r="A169" s="74" t="n"/>
      <ns0:c r="B169" s="68" t="n"/>
      <ns0:c r="C169" s="68" t="n"/>
      <ns0:c r="D169" s="68" t="n"/>
      <ns0:c r="E169" s="69" t="n"/>
      <ns0:c r="F169" s="73" t="str">
        <ns0:f>IF(OR(D169="",E169=""),"",ROUND(D169*E169,2))</ns0:f>
        <ns0:v/>
      </ns0:c>
      <ns0:c r="G169" s="68" t="n"/>
      <ns0:c r="H169" s="68" t="n"/>
    </ns0:row>
    <ns0:row r="170" ht="32" customHeight="1" s="59">
      <ns0:c r="A170" s="74" t="n"/>
      <ns0:c r="B170" s="68" t="n"/>
      <ns0:c r="C170" s="68" t="n"/>
      <ns0:c r="D170" s="68" t="n"/>
      <ns0:c r="E170" s="69" t="n"/>
      <ns0:c r="F170" s="72" t="str">
        <ns0:f>IF(OR(D170="",E170=""),"",ROUND(D170*E170,2))</ns0:f>
        <ns0:v/>
      </ns0:c>
      <ns0:c r="G170" s="68" t="n"/>
      <ns0:c r="H170" s="68" t="n"/>
    </ns0:row>
    <ns0:row r="171" ht="32" customHeight="1" s="59">
      <ns0:c r="A171" s="74" t="n"/>
      <ns0:c r="B171" s="68" t="n"/>
      <ns0:c r="C171" s="68" t="n"/>
      <ns0:c r="D171" s="68" t="n"/>
      <ns0:c r="E171" s="69" t="n"/>
      <ns0:c r="F171" s="73" t="str">
        <ns0:f>IF(OR(D171="",E171=""),"",ROUND(D171*E171,2))</ns0:f>
        <ns0:v/>
      </ns0:c>
      <ns0:c r="G171" s="68" t="n"/>
      <ns0:c r="H171" s="68" t="n"/>
    </ns0:row>
    <ns0:row r="172" ht="32" customHeight="1" s="59">
      <ns0:c r="A172" s="74" t="n"/>
      <ns0:c r="B172" s="68" t="n"/>
      <ns0:c r="C172" s="68" t="n"/>
      <ns0:c r="D172" s="68" t="n"/>
      <ns0:c r="E172" s="69" t="n"/>
      <ns0:c r="F172" s="72" t="str">
        <ns0:f>IF(OR(D172="",E172=""),"",ROUND(D172*E172,2))</ns0:f>
        <ns0:v/>
      </ns0:c>
      <ns0:c r="G172" s="68" t="n"/>
      <ns0:c r="H172" s="68" t="n"/>
    </ns0:row>
    <ns0:row r="173" ht="32" customHeight="1" s="59">
      <ns0:c r="A173" s="74" t="n"/>
      <ns0:c r="B173" s="68" t="n"/>
      <ns0:c r="C173" s="68" t="n"/>
      <ns0:c r="D173" s="68" t="n"/>
      <ns0:c r="E173" s="69" t="n"/>
      <ns0:c r="F173" s="73" t="str">
        <ns0:f>IF(OR(D173="",E173=""),"",ROUND(D173*E173,2))</ns0:f>
        <ns0:v/>
      </ns0:c>
      <ns0:c r="G173" s="68" t="n"/>
      <ns0:c r="H173" s="68" t="n"/>
    </ns0:row>
    <ns0:row r="174" ht="32" customHeight="1" s="59">
      <ns0:c r="A174" s="74" t="n"/>
      <ns0:c r="B174" s="68" t="n"/>
      <ns0:c r="C174" s="68" t="n"/>
      <ns0:c r="D174" s="68" t="n"/>
      <ns0:c r="E174" s="69" t="n"/>
      <ns0:c r="F174" s="72" t="str">
        <ns0:f>IF(OR(D174="",E174=""),"",ROUND(D174*E174,2))</ns0:f>
        <ns0:v/>
      </ns0:c>
      <ns0:c r="G174" s="68" t="n"/>
      <ns0:c r="H174" s="68" t="n"/>
    </ns0:row>
    <ns0:row r="175" ht="32" customHeight="1" s="59">
      <ns0:c r="A175" s="74" t="n"/>
      <ns0:c r="B175" s="68" t="n"/>
      <ns0:c r="C175" s="68" t="n"/>
      <ns0:c r="D175" s="68" t="n"/>
      <ns0:c r="E175" s="69" t="n"/>
      <ns0:c r="F175" s="73" t="str">
        <ns0:f>IF(OR(D175="",E175=""),"",ROUND(D175*E175,2))</ns0:f>
        <ns0:v/>
      </ns0:c>
      <ns0:c r="G175" s="68" t="n"/>
      <ns0:c r="H175" s="68" t="n"/>
    </ns0:row>
    <ns0:row r="176" ht="32" customHeight="1" s="59">
      <ns0:c r="A176" s="74" t="n"/>
      <ns0:c r="B176" s="68" t="n"/>
      <ns0:c r="C176" s="68" t="n"/>
      <ns0:c r="D176" s="68" t="n"/>
      <ns0:c r="E176" s="69" t="n"/>
      <ns0:c r="F176" s="72" t="str">
        <ns0:f>IF(OR(D176="",E176=""),"",ROUND(D176*E176,2))</ns0:f>
        <ns0:v/>
      </ns0:c>
      <ns0:c r="G176" s="68" t="n"/>
      <ns0:c r="H176" s="68" t="n"/>
    </ns0:row>
    <ns0:row r="177" ht="32" customHeight="1" s="59">
      <ns0:c r="A177" s="74" t="n"/>
      <ns0:c r="B177" s="68" t="n"/>
      <ns0:c r="C177" s="68" t="n"/>
      <ns0:c r="D177" s="68" t="n"/>
      <ns0:c r="E177" s="69" t="n"/>
      <ns0:c r="F177" s="73" t="str">
        <ns0:f>IF(OR(D177="",E177=""),"",ROUND(D177*E177,2))</ns0:f>
        <ns0:v/>
      </ns0:c>
      <ns0:c r="G177" s="68" t="n"/>
      <ns0:c r="H177" s="68" t="n"/>
    </ns0:row>
    <ns0:row r="178" ht="32" customHeight="1" s="59">
      <ns0:c r="A178" s="74" t="n"/>
      <ns0:c r="B178" s="68" t="n"/>
      <ns0:c r="C178" s="68" t="n"/>
      <ns0:c r="D178" s="68" t="n"/>
      <ns0:c r="E178" s="69" t="n"/>
      <ns0:c r="F178" s="72" t="str">
        <ns0:f>IF(OR(D178="",E178=""),"",ROUND(D178*E178,2))</ns0:f>
        <ns0:v/>
      </ns0:c>
      <ns0:c r="G178" s="68" t="n"/>
      <ns0:c r="H178" s="68" t="n"/>
    </ns0:row>
    <ns0:row r="179" ht="32" customHeight="1" s="59">
      <ns0:c r="A179" s="74" t="n"/>
      <ns0:c r="B179" s="68" t="n"/>
      <ns0:c r="C179" s="68" t="n"/>
      <ns0:c r="D179" s="68" t="n"/>
      <ns0:c r="E179" s="69" t="n"/>
      <ns0:c r="F179" s="73" t="str">
        <ns0:f>IF(OR(D179="",E179=""),"",ROUND(D179*E179,2))</ns0:f>
        <ns0:v/>
      </ns0:c>
      <ns0:c r="G179" s="68" t="n"/>
      <ns0:c r="H179" s="68" t="n"/>
    </ns0:row>
    <ns0:row r="180" ht="32" customHeight="1" s="59">
      <ns0:c r="A180" s="74" t="n"/>
      <ns0:c r="B180" s="68" t="n"/>
      <ns0:c r="C180" s="68" t="n"/>
      <ns0:c r="D180" s="68" t="n"/>
      <ns0:c r="E180" s="69" t="n"/>
      <ns0:c r="F180" s="72" t="str">
        <ns0:f>IF(OR(D180="",E180=""),"",ROUND(D180*E180,2))</ns0:f>
        <ns0:v/>
      </ns0:c>
      <ns0:c r="G180" s="68" t="n"/>
      <ns0:c r="H180" s="68" t="n"/>
    </ns0:row>
    <ns0:row r="181" ht="32" customHeight="1" s="59">
      <ns0:c r="A181" s="74" t="n"/>
      <ns0:c r="B181" s="68" t="n"/>
      <ns0:c r="C181" s="68" t="n"/>
      <ns0:c r="D181" s="68" t="n"/>
      <ns0:c r="E181" s="69" t="n"/>
      <ns0:c r="F181" s="73" t="str">
        <ns0:f>IF(OR(D181="",E181=""),"",ROUND(D181*E181,2))</ns0:f>
        <ns0:v/>
      </ns0:c>
      <ns0:c r="G181" s="68" t="n"/>
      <ns0:c r="H181" s="68" t="n"/>
    </ns0:row>
    <ns0:row r="182" ht="32" customHeight="1" s="59">
      <ns0:c r="A182" s="74" t="n"/>
      <ns0:c r="B182" s="68" t="n"/>
      <ns0:c r="C182" s="68" t="n"/>
      <ns0:c r="D182" s="68" t="n"/>
      <ns0:c r="E182" s="69" t="n"/>
      <ns0:c r="F182" s="72" t="str">
        <ns0:f>IF(OR(D182="",E182=""),"",ROUND(D182*E182,2))</ns0:f>
        <ns0:v/>
      </ns0:c>
      <ns0:c r="G182" s="68" t="n"/>
      <ns0:c r="H182" s="68" t="n"/>
    </ns0:row>
    <ns0:row r="183" ht="32" customHeight="1" s="59">
      <ns0:c r="A183" s="74" t="n"/>
      <ns0:c r="B183" s="68" t="n"/>
      <ns0:c r="C183" s="68" t="n"/>
      <ns0:c r="D183" s="68" t="n"/>
      <ns0:c r="E183" s="69" t="n"/>
      <ns0:c r="F183" s="73" t="str">
        <ns0:f>IF(OR(D183="",E183=""),"",ROUND(D183*E183,2))</ns0:f>
        <ns0:v/>
      </ns0:c>
      <ns0:c r="G183" s="68" t="n"/>
      <ns0:c r="H183" s="68" t="n"/>
    </ns0:row>
    <ns0:row r="184" ht="32" customHeight="1" s="59">
      <ns0:c r="A184" s="74" t="n"/>
      <ns0:c r="B184" s="68" t="n"/>
      <ns0:c r="C184" s="68" t="n"/>
      <ns0:c r="D184" s="68" t="n"/>
      <ns0:c r="E184" s="69" t="n"/>
      <ns0:c r="F184" s="72" t="str">
        <ns0:f>IF(OR(D184="",E184=""),"",ROUND(D184*E184,2))</ns0:f>
        <ns0:v/>
      </ns0:c>
      <ns0:c r="G184" s="68" t="n"/>
      <ns0:c r="H184" s="68" t="n"/>
    </ns0:row>
    <ns0:row r="185" ht="32" customHeight="1" s="59">
      <ns0:c r="A185" s="74" t="n"/>
      <ns0:c r="B185" s="68" t="n"/>
      <ns0:c r="C185" s="68" t="n"/>
      <ns0:c r="D185" s="68" t="n"/>
      <ns0:c r="E185" s="69" t="n"/>
      <ns0:c r="F185" s="73" t="str">
        <ns0:f>IF(OR(D185="",E185=""),"",ROUND(D185*E185,2))</ns0:f>
        <ns0:v/>
      </ns0:c>
      <ns0:c r="G185" s="68" t="n"/>
      <ns0:c r="H185" s="68" t="n"/>
    </ns0:row>
    <ns0:row r="186" ht="32" customHeight="1" s="59">
      <ns0:c r="A186" s="74" t="n"/>
      <ns0:c r="B186" s="68" t="n"/>
      <ns0:c r="C186" s="68" t="n"/>
      <ns0:c r="D186" s="68" t="n"/>
      <ns0:c r="E186" s="69" t="n"/>
      <ns0:c r="F186" s="72" t="str">
        <ns0:f>IF(OR(D186="",E186=""),"",ROUND(D186*E186,2))</ns0:f>
        <ns0:v/>
      </ns0:c>
      <ns0:c r="G186" s="68" t="n"/>
      <ns0:c r="H186" s="68" t="n"/>
    </ns0:row>
    <ns0:row r="187" ht="32" customHeight="1" s="59">
      <ns0:c r="A187" s="74" t="n"/>
      <ns0:c r="B187" s="68" t="n"/>
      <ns0:c r="C187" s="68" t="n"/>
      <ns0:c r="D187" s="68" t="n"/>
      <ns0:c r="E187" s="69" t="n"/>
      <ns0:c r="F187" s="73" t="str">
        <ns0:f>IF(OR(D187="",E187=""),"",ROUND(D187*E187,2))</ns0:f>
        <ns0:v/>
      </ns0:c>
      <ns0:c r="G187" s="68" t="n"/>
      <ns0:c r="H187" s="68" t="n"/>
    </ns0:row>
    <ns0:row r="188" ht="32" customHeight="1" s="59">
      <ns0:c r="A188" s="74" t="n"/>
      <ns0:c r="B188" s="68" t="n"/>
      <ns0:c r="C188" s="68" t="n"/>
      <ns0:c r="D188" s="68" t="n"/>
      <ns0:c r="E188" s="69" t="n"/>
      <ns0:c r="F188" s="72" t="str">
        <ns0:f>IF(OR(D188="",E188=""),"",ROUND(D188*E188,2))</ns0:f>
        <ns0:v/>
      </ns0:c>
      <ns0:c r="G188" s="68" t="n"/>
      <ns0:c r="H188" s="68" t="n"/>
    </ns0:row>
    <ns0:row r="189" ht="32" customHeight="1" s="59">
      <ns0:c r="A189" s="74" t="n"/>
      <ns0:c r="B189" s="68" t="n"/>
      <ns0:c r="C189" s="68" t="n"/>
      <ns0:c r="D189" s="68" t="n"/>
      <ns0:c r="E189" s="69" t="n"/>
      <ns0:c r="F189" s="73" t="str">
        <ns0:f>IF(OR(D189="",E189=""),"",ROUND(D189*E189,2))</ns0:f>
        <ns0:v/>
      </ns0:c>
      <ns0:c r="G189" s="68" t="n"/>
      <ns0:c r="H189" s="68" t="n"/>
    </ns0:row>
    <ns0:row r="190" ht="32" customHeight="1" s="59">
      <ns0:c r="A190" s="74" t="n"/>
      <ns0:c r="B190" s="68" t="n"/>
      <ns0:c r="C190" s="68" t="n"/>
      <ns0:c r="D190" s="68" t="n"/>
      <ns0:c r="E190" s="69" t="n"/>
      <ns0:c r="F190" s="72" t="str">
        <ns0:f>IF(OR(D190="",E190=""),"",ROUND(D190*E190,2))</ns0:f>
        <ns0:v/>
      </ns0:c>
      <ns0:c r="G190" s="68" t="n"/>
      <ns0:c r="H190" s="68" t="n"/>
    </ns0:row>
    <ns0:row r="191" ht="32" customHeight="1" s="59">
      <ns0:c r="A191" s="74" t="n"/>
      <ns0:c r="B191" s="68" t="n"/>
      <ns0:c r="C191" s="68" t="n"/>
      <ns0:c r="D191" s="68" t="n"/>
      <ns0:c r="E191" s="69" t="n"/>
      <ns0:c r="F191" s="73" t="str">
        <ns0:f>IF(OR(D191="",E191=""),"",ROUND(D191*E191,2))</ns0:f>
        <ns0:v/>
      </ns0:c>
      <ns0:c r="G191" s="68" t="n"/>
      <ns0:c r="H191" s="68" t="n"/>
    </ns0:row>
    <ns0:row r="192" ht="32" customHeight="1" s="59">
      <ns0:c r="A192" s="74" t="n"/>
      <ns0:c r="B192" s="68" t="n"/>
      <ns0:c r="C192" s="68" t="n"/>
      <ns0:c r="D192" s="68" t="n"/>
      <ns0:c r="E192" s="69" t="n"/>
      <ns0:c r="F192" s="72" t="str">
        <ns0:f>IF(OR(D192="",E192=""),"",ROUND(D192*E192,2))</ns0:f>
        <ns0:v/>
      </ns0:c>
      <ns0:c r="G192" s="68" t="n"/>
      <ns0:c r="H192" s="68" t="n"/>
    </ns0:row>
    <ns0:row r="193" ht="32" customHeight="1" s="59">
      <ns0:c r="A193" s="74" t="n"/>
      <ns0:c r="B193" s="68" t="n"/>
      <ns0:c r="C193" s="68" t="n"/>
      <ns0:c r="D193" s="68" t="n"/>
      <ns0:c r="E193" s="69" t="n"/>
      <ns0:c r="F193" s="73" t="str">
        <ns0:f>IF(OR(D193="",E193=""),"",ROUND(D193*E193,2))</ns0:f>
        <ns0:v/>
      </ns0:c>
      <ns0:c r="G193" s="68" t="n"/>
      <ns0:c r="H193" s="68" t="n"/>
    </ns0:row>
    <ns0:row r="194" ht="32" customHeight="1" s="59">
      <ns0:c r="A194" s="74" t="n"/>
      <ns0:c r="B194" s="68" t="n"/>
      <ns0:c r="C194" s="68" t="n"/>
      <ns0:c r="D194" s="68" t="n"/>
      <ns0:c r="E194" s="69" t="n"/>
      <ns0:c r="F194" s="72" t="str">
        <ns0:f>IF(OR(D194="",E194=""),"",ROUND(D194*E194,2))</ns0:f>
        <ns0:v/>
      </ns0:c>
      <ns0:c r="G194" s="68" t="n"/>
      <ns0:c r="H194" s="68" t="n"/>
    </ns0:row>
    <ns0:row r="195" ht="32" customHeight="1" s="59">
      <ns0:c r="A195" s="74" t="n"/>
      <ns0:c r="B195" s="68" t="n"/>
      <ns0:c r="C195" s="68" t="n"/>
      <ns0:c r="D195" s="68" t="n"/>
      <ns0:c r="E195" s="69" t="n"/>
      <ns0:c r="F195" s="73" t="str">
        <ns0:f>IF(OR(D195="",E195=""),"",ROUND(D195*E195,2))</ns0:f>
        <ns0:v/>
      </ns0:c>
      <ns0:c r="G195" s="68" t="n"/>
      <ns0:c r="H195" s="68" t="n"/>
    </ns0:row>
    <ns0:row r="196" ht="32" customHeight="1" s="59">
      <ns0:c r="A196" s="74" t="n"/>
      <ns0:c r="B196" s="68" t="n"/>
      <ns0:c r="C196" s="68" t="n"/>
      <ns0:c r="D196" s="68" t="n"/>
      <ns0:c r="E196" s="69" t="n"/>
      <ns0:c r="F196" s="72" t="str">
        <ns0:f>IF(OR(D196="",E196=""),"",ROUND(D196*E196,2))</ns0:f>
        <ns0:v/>
      </ns0:c>
      <ns0:c r="G196" s="68" t="n"/>
      <ns0:c r="H196" s="68" t="n"/>
    </ns0:row>
    <ns0:row r="197" ht="32" customHeight="1" s="59">
      <ns0:c r="A197" s="74" t="n"/>
      <ns0:c r="B197" s="68" t="n"/>
      <ns0:c r="C197" s="68" t="n"/>
      <ns0:c r="D197" s="68" t="n"/>
      <ns0:c r="E197" s="69" t="n"/>
      <ns0:c r="F197" s="73" t="str">
        <ns0:f>IF(OR(D197="",E197=""),"",ROUND(D197*E197,2))</ns0:f>
        <ns0:v/>
      </ns0:c>
      <ns0:c r="G197" s="68" t="n"/>
      <ns0:c r="H197" s="68" t="n"/>
    </ns0:row>
    <ns0:row r="198" ht="32" customHeight="1" s="59">
      <ns0:c r="A198" s="74" t="n"/>
      <ns0:c r="B198" s="68" t="n"/>
      <ns0:c r="C198" s="68" t="n"/>
      <ns0:c r="D198" s="68" t="n"/>
      <ns0:c r="E198" s="69" t="n"/>
      <ns0:c r="F198" s="72" t="str">
        <ns0:f>IF(OR(D198="",E198=""),"",ROUND(D198*E198,2))</ns0:f>
        <ns0:v/>
      </ns0:c>
      <ns0:c r="G198" s="68" t="n"/>
      <ns0:c r="H198" s="68" t="n"/>
    </ns0:row>
    <ns0:row r="199" ht="32" customHeight="1" s="59">
      <ns0:c r="A199" s="74" t="n"/>
      <ns0:c r="B199" s="68" t="n"/>
      <ns0:c r="C199" s="68" t="n"/>
      <ns0:c r="D199" s="68" t="n"/>
      <ns0:c r="E199" s="69" t="n"/>
      <ns0:c r="F199" s="73" t="str">
        <ns0:f>IF(OR(D199="",E199=""),"",ROUND(D199*E199,2))</ns0:f>
        <ns0:v/>
      </ns0:c>
      <ns0:c r="G199" s="68" t="n"/>
      <ns0:c r="H199" s="68" t="n"/>
    </ns0:row>
    <ns0:row r="200" ht="32" customHeight="1" s="59">
      <ns0:c r="A200" s="74" t="n"/>
      <ns0:c r="B200" s="68" t="n"/>
      <ns0:c r="C200" s="68" t="n"/>
      <ns0:c r="D200" s="68" t="n"/>
      <ns0:c r="E200" s="69" t="n"/>
      <ns0:c r="F200" s="72" t="str">
        <ns0:f>IF(OR(D200="",E200=""),"",ROUND(D200*E200,2))</ns0:f>
        <ns0:v/>
      </ns0:c>
      <ns0:c r="G200" s="68" t="n"/>
      <ns0:c r="H200" s="68" t="n"/>
    </ns0:row>
    <ns0:row r="201" ht="32" customHeight="1" s="59">
      <ns0:c r="A201" s="74" t="n"/>
      <ns0:c r="B201" s="68" t="n"/>
      <ns0:c r="C201" s="68" t="n"/>
      <ns0:c r="D201" s="68" t="n"/>
      <ns0:c r="E201" s="69" t="n"/>
      <ns0:c r="F201" s="73" t="str">
        <ns0:f>IF(OR(D201="",E201=""),"",ROUND(D201*E201,2))</ns0:f>
        <ns0:v/>
      </ns0:c>
      <ns0:c r="G201" s="68" t="n"/>
      <ns0:c r="H201" s="68" t="n"/>
    </ns0:row>
    <ns0:row r="202" ht="32" customHeight="1" s="59">
      <ns0:c r="A202" s="74" t="n"/>
      <ns0:c r="B202" s="68" t="n"/>
      <ns0:c r="C202" s="68" t="n"/>
      <ns0:c r="D202" s="68" t="n"/>
      <ns0:c r="E202" s="69" t="n"/>
      <ns0:c r="F202" s="72" t="str">
        <ns0:f>IF(OR(D202="",E202=""),"",ROUND(D202*E202,2))</ns0:f>
        <ns0:v/>
      </ns0:c>
      <ns0:c r="G202" s="68" t="n"/>
      <ns0:c r="H202" s="68" t="n"/>
    </ns0:row>
    <ns0:row r="203" ht="32" customHeight="1" s="59">
      <ns0:c r="A203" s="74" t="n"/>
      <ns0:c r="B203" s="68" t="n"/>
      <ns0:c r="C203" s="68" t="n"/>
      <ns0:c r="D203" s="68" t="n"/>
      <ns0:c r="E203" s="69" t="n"/>
      <ns0:c r="F203" s="73" t="str">
        <ns0:f>IF(OR(D203="",E203=""),"",ROUND(D203*E203,2))</ns0:f>
        <ns0:v/>
      </ns0:c>
      <ns0:c r="G203" s="68" t="n"/>
      <ns0:c r="H203" s="68" t="n"/>
    </ns0:row>
  </ns0:sheetData>
  <ns0:sheetProtection selectLockedCells="0" selectUnlockedCells="0" sheet="1" objects="0" insertRows="1" insertHyperlinks="1" autoFilter="0" scenarios="0" formatColumns="1" deleteColumns="1" insertColumns="1" pivotTables="1" deleteRows="1" formatCells="1" formatRows="1" sort="1"/>
  <ns0:autoFilter ref="A3:H203"/>
  <ns0:mergeCells count="1">
    <ns0:mergeCell ref="A1:H1"/>
  </ns0:mergeCells>
  <ns0:dataValidations count="4">
    <ns0:dataValidation sqref="D4:E203" showDropDown="0" showInputMessage="1" showErrorMessage="1" allowBlank="1" errorTitle="Check this entry" error="Use the allowed value. Read the column notes." promptTitle="Input cell" prompt="Enter numbers without currency symbols. Clear unused rows." type="decimal" errorStyle="stop" operator="between">
      <ns0:formula1>0</ns0:formula1>
      <ns0:formula2>1000000000</ns0:formula2>
    </ns0:dataValidation>
    <ns0:dataValidation sqref="C4:C203" showDropDown="0" showInputMessage="1" showErrorMessage="1" allowBlank="1" errorTitle="Check this entry" error="Use the allowed value. Read the column notes." promptTitle="Input cell" prompt="Enter numbers without currency symbols. Clear unused rows." type="list" errorStyle="stop" operator="between">
      <ns0:formula1>"Materials,Labor,Equipment,Subcontract,Other"</ns0:formula1>
    </ns0:dataValidation>
    <ns0:dataValidation sqref="H4:H203" showDropDown="0" showInputMessage="1" showErrorMessage="1" allowBlank="1" errorTitle="Check this entry" error="Use the allowed value. Read the column notes." promptTitle="Input cell" prompt="Enter numbers without currency symbols. Clear unused rows." type="list" errorStyle="stop" operator="between">
      <ns0:formula1>"Base,Change"</ns0:formula1>
    </ns0:dataValidation>
    <ns0:dataValidation sqref="A4:A203" showDropDown="0" showInputMessage="1" showErrorMessage="1" allowBlank="1" errorTitle="Check this entry" error="Use the allowed value. Read the column notes." promptTitle="Input cell" prompt="Enter numbers without currency symbols. Clear unused rows." type="date" errorStyle="stop" operator="between">
      <ns0:formula1>DATE(2000,1,1)</ns0:formula1>
      <ns0:formula2>DATE(2100,12,31)</ns0:formula2>
    </ns0:dataValidation>
  </ns0:dataValidations>
  <ns0:printOptions horizontalCentered="1"/>
  <ns0:pageMargins left="0.7" right="0.7" top="0.75" bottom="0.75" header="0.3" footer="0.3"/>
  <ns0:pageSetup orientation="landscape" paperSize="1" fitToHeight="0" fitToWidth="1"/>
</ns0:worksheet>
</file>

<file path=xl/worksheets/sheet5.xml><?xml version="1.0" encoding="utf-8"?>
<ns0:worksheet xmlns:ns0="http://schemas.openxmlformats.org/spreadsheetml/2006/main">
  <ns0:sheetPr>
    <ns0:tabColor rgb="0016324F"/>
    <ns0:outlinePr summaryBelow="1" summaryRight="1"/>
    <ns0:pageSetUpPr fitToPage="1"/>
  </ns0:sheetPr>
  <ns0:dimension ref="A1:G103"/>
  <ns0:sheetViews>
    <ns0:sheetView showGridLines="0" workbookViewId="0">
      <ns0:pane xSplit="2" ySplit="3" topLeftCell="C4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9" customWidth="1" style="59" min="1" max="1"/>
    <ns0:col width="30" customWidth="1" style="59" min="2" max="2"/>
    <ns0:col width="22" customWidth="1" style="59" min="3" max="3"/>
    <ns0:col width="22" customWidth="1" style="59" min="4" max="4"/>
    <ns0:col width="22" customWidth="1" style="59" min="5" max="5"/>
    <ns0:col width="22" customWidth="1" style="59" min="6" max="6"/>
    <ns0:col width="45" customWidth="1" style="59" min="7" max="7"/>
    <ns0:col width="22" customWidth="1" style="59" min="8" max="8"/>
  </ns0:cols>
  <ns0:sheetData>
    <ns0:row r="1" ht="34" customHeight="1" s="59">
      <ns0:c r="A1" s="63" t="inlineStr">
        <ns0:is>
          <ns0:t>CHANGE ORDERS  |  APPROVED REVENUE ONLY</ns0:t>
        </ns0:is>
      </ns0:c>
      <ns0:c r="B1" s="1" t="n"/>
      <ns0:c r="C1" s="1" t="n"/>
      <ns0:c r="D1" s="1" t="n"/>
      <ns0:c r="E1" s="1" t="n"/>
      <ns0:c r="F1" s="1" t="n"/>
      <ns0:c r="G1" s="1" t="n"/>
    </ns0:row>
    <ns0:row r="2">
      <ns0:c r="A2" s="64" t="n"/>
      <ns0:c r="B2" s="64" t="n"/>
      <ns0:c r="C2" s="64" t="n"/>
      <ns0:c r="D2" s="64" t="n"/>
      <ns0:c r="E2" s="64" t="n"/>
      <ns0:c r="F2" s="64" t="n"/>
      <ns0:c r="G2" s="64" t="n"/>
    </ns0:row>
    <ns0:row r="3" ht="32" customHeight="1" s="59">
      <ns0:c r="A3" s="65" t="inlineStr">
        <ns0:is>
          <ns0:t>CHANGE ID</ns0:t>
        </ns0:is>
      </ns0:c>
      <ns0:c r="B3" s="65" t="inlineStr">
        <ns0:is>
          <ns0:t>DESCRIPTION</ns0:t>
        </ns0:is>
      </ns0:c>
      <ns0:c r="C3" s="65" t="inlineStr">
        <ns0:is>
          <ns0:t>STATUS</ns0:t>
        </ns0:is>
      </ns0:c>
      <ns0:c r="D3" s="65" t="inlineStr">
        <ns0:is>
          <ns0:t>ADDED REVENUE ($)</ns0:t>
        </ns0:is>
      </ns0:c>
      <ns0:c r="E3" s="65" t="inlineStr">
        <ns0:is>
          <ns0:t>EST. CHANGE COST ($)</ns0:t>
        </ns0:is>
      </ns0:c>
      <ns0:c r="F3" s="65" t="inlineStr">
        <ns0:is>
          <ns0:t>EST. CONTRIBUTION ($)</ns0:t>
        </ns0:is>
      </ns0:c>
      <ns0:c r="G3" s="65" t="inlineStr">
        <ns0:is>
          <ns0:t>NOTES</ns0:t>
        </ns0:is>
      </ns0:c>
    </ns0:row>
    <ns0:row r="4" ht="32" customHeight="1" s="59">
      <ns0:c r="A4" s="68" t="n"/>
      <ns0:c r="B4" s="68" t="n"/>
      <ns0:c r="C4" s="68" t="n"/>
      <ns0:c r="D4" s="69" t="n"/>
      <ns0:c r="E4" s="69" t="n"/>
      <ns0:c r="F4" s="72" t="n">
        <ns0:f>IF(C4="Approved",IF(OR(D4="",E4=""),"",ROUND(D4-E4,2)),0)</ns0:f>
        <ns0:v>0</ns0:v>
      </ns0:c>
      <ns0:c r="G4" s="68" t="n"/>
    </ns0:row>
    <ns0:row r="5" ht="32" customHeight="1" s="59">
      <ns0:c r="A5" s="68" t="n"/>
      <ns0:c r="B5" s="68" t="n"/>
      <ns0:c r="C5" s="68" t="n"/>
      <ns0:c r="D5" s="69" t="n"/>
      <ns0:c r="E5" s="69" t="n"/>
      <ns0:c r="F5" s="73" t="n">
        <ns0:f>IF(C5="Approved",IF(OR(D5="",E5=""),"",ROUND(D5-E5,2)),0)</ns0:f>
        <ns0:v>0</ns0:v>
      </ns0:c>
      <ns0:c r="G5" s="68" t="n"/>
    </ns0:row>
    <ns0:row r="6" ht="32" customHeight="1" s="59">
      <ns0:c r="A6" s="68" t="n"/>
      <ns0:c r="B6" s="68" t="n"/>
      <ns0:c r="C6" s="68" t="n"/>
      <ns0:c r="D6" s="69" t="n"/>
      <ns0:c r="E6" s="69" t="n"/>
      <ns0:c r="F6" s="72" t="n">
        <ns0:f>IF(C6="Approved",IF(OR(D6="",E6=""),"",ROUND(D6-E6,2)),0)</ns0:f>
        <ns0:v>0</ns0:v>
      </ns0:c>
      <ns0:c r="G6" s="68" t="n"/>
    </ns0:row>
    <ns0:row r="7" ht="32" customHeight="1" s="59">
      <ns0:c r="A7" s="68" t="n"/>
      <ns0:c r="B7" s="68" t="n"/>
      <ns0:c r="C7" s="68" t="n"/>
      <ns0:c r="D7" s="69" t="n"/>
      <ns0:c r="E7" s="69" t="n"/>
      <ns0:c r="F7" s="73" t="n">
        <ns0:f>IF(C7="Approved",IF(OR(D7="",E7=""),"",ROUND(D7-E7,2)),0)</ns0:f>
        <ns0:v>0</ns0:v>
      </ns0:c>
      <ns0:c r="G7" s="68" t="n"/>
    </ns0:row>
    <ns0:row r="8" ht="32" customHeight="1" s="59">
      <ns0:c r="A8" s="68" t="n"/>
      <ns0:c r="B8" s="68" t="n"/>
      <ns0:c r="C8" s="68" t="n"/>
      <ns0:c r="D8" s="69" t="n"/>
      <ns0:c r="E8" s="69" t="n"/>
      <ns0:c r="F8" s="72" t="n">
        <ns0:f>IF(C8="Approved",IF(OR(D8="",E8=""),"",ROUND(D8-E8,2)),0)</ns0:f>
        <ns0:v>0</ns0:v>
      </ns0:c>
      <ns0:c r="G8" s="68" t="n"/>
    </ns0:row>
    <ns0:row r="9" ht="32" customHeight="1" s="59">
      <ns0:c r="A9" s="68" t="n"/>
      <ns0:c r="B9" s="68" t="n"/>
      <ns0:c r="C9" s="68" t="n"/>
      <ns0:c r="D9" s="69" t="n"/>
      <ns0:c r="E9" s="69" t="n"/>
      <ns0:c r="F9" s="73" t="n">
        <ns0:f>IF(C9="Approved",IF(OR(D9="",E9=""),"",ROUND(D9-E9,2)),0)</ns0:f>
        <ns0:v>0</ns0:v>
      </ns0:c>
      <ns0:c r="G9" s="68" t="n"/>
    </ns0:row>
    <ns0:row r="10" ht="32" customHeight="1" s="59">
      <ns0:c r="A10" s="68" t="n"/>
      <ns0:c r="B10" s="68" t="n"/>
      <ns0:c r="C10" s="68" t="n"/>
      <ns0:c r="D10" s="69" t="n"/>
      <ns0:c r="E10" s="69" t="n"/>
      <ns0:c r="F10" s="72" t="n">
        <ns0:f>IF(C10="Approved",IF(OR(D10="",E10=""),"",ROUND(D10-E10,2)),0)</ns0:f>
        <ns0:v>0</ns0:v>
      </ns0:c>
      <ns0:c r="G10" s="68" t="n"/>
    </ns0:row>
    <ns0:row r="11" ht="32" customHeight="1" s="59">
      <ns0:c r="A11" s="68" t="n"/>
      <ns0:c r="B11" s="68" t="n"/>
      <ns0:c r="C11" s="68" t="n"/>
      <ns0:c r="D11" s="69" t="n"/>
      <ns0:c r="E11" s="69" t="n"/>
      <ns0:c r="F11" s="73" t="n">
        <ns0:f>IF(C11="Approved",IF(OR(D11="",E11=""),"",ROUND(D11-E11,2)),0)</ns0:f>
        <ns0:v>0</ns0:v>
      </ns0:c>
      <ns0:c r="G11" s="68" t="n"/>
    </ns0:row>
    <ns0:row r="12" ht="32" customHeight="1" s="59">
      <ns0:c r="A12" s="68" t="n"/>
      <ns0:c r="B12" s="68" t="n"/>
      <ns0:c r="C12" s="68" t="n"/>
      <ns0:c r="D12" s="69" t="n"/>
      <ns0:c r="E12" s="69" t="n"/>
      <ns0:c r="F12" s="72" t="n">
        <ns0:f>IF(C12="Approved",IF(OR(D12="",E12=""),"",ROUND(D12-E12,2)),0)</ns0:f>
        <ns0:v>0</ns0:v>
      </ns0:c>
      <ns0:c r="G12" s="68" t="n"/>
    </ns0:row>
    <ns0:row r="13" ht="32" customHeight="1" s="59">
      <ns0:c r="A13" s="68" t="n"/>
      <ns0:c r="B13" s="68" t="n"/>
      <ns0:c r="C13" s="68" t="n"/>
      <ns0:c r="D13" s="69" t="n"/>
      <ns0:c r="E13" s="69" t="n"/>
      <ns0:c r="F13" s="73" t="n">
        <ns0:f>IF(C13="Approved",IF(OR(D13="",E13=""),"",ROUND(D13-E13,2)),0)</ns0:f>
        <ns0:v>0</ns0:v>
      </ns0:c>
      <ns0:c r="G13" s="68" t="n"/>
    </ns0:row>
    <ns0:row r="14" ht="32" customHeight="1" s="59">
      <ns0:c r="A14" s="68" t="n"/>
      <ns0:c r="B14" s="68" t="n"/>
      <ns0:c r="C14" s="68" t="n"/>
      <ns0:c r="D14" s="69" t="n"/>
      <ns0:c r="E14" s="69" t="n"/>
      <ns0:c r="F14" s="72" t="n">
        <ns0:f>IF(C14="Approved",IF(OR(D14="",E14=""),"",ROUND(D14-E14,2)),0)</ns0:f>
        <ns0:v>0</ns0:v>
      </ns0:c>
      <ns0:c r="G14" s="68" t="n"/>
    </ns0:row>
    <ns0:row r="15" ht="32" customHeight="1" s="59">
      <ns0:c r="A15" s="68" t="n"/>
      <ns0:c r="B15" s="68" t="n"/>
      <ns0:c r="C15" s="68" t="n"/>
      <ns0:c r="D15" s="69" t="n"/>
      <ns0:c r="E15" s="69" t="n"/>
      <ns0:c r="F15" s="73" t="n">
        <ns0:f>IF(C15="Approved",IF(OR(D15="",E15=""),"",ROUND(D15-E15,2)),0)</ns0:f>
        <ns0:v>0</ns0:v>
      </ns0:c>
      <ns0:c r="G15" s="68" t="n"/>
    </ns0:row>
    <ns0:row r="16" ht="32" customHeight="1" s="59">
      <ns0:c r="A16" s="68" t="n"/>
      <ns0:c r="B16" s="68" t="n"/>
      <ns0:c r="C16" s="68" t="n"/>
      <ns0:c r="D16" s="69" t="n"/>
      <ns0:c r="E16" s="69" t="n"/>
      <ns0:c r="F16" s="72" t="n">
        <ns0:f>IF(C16="Approved",IF(OR(D16="",E16=""),"",ROUND(D16-E16,2)),0)</ns0:f>
        <ns0:v>0</ns0:v>
      </ns0:c>
      <ns0:c r="G16" s="68" t="n"/>
    </ns0:row>
    <ns0:row r="17" ht="32" customHeight="1" s="59">
      <ns0:c r="A17" s="68" t="n"/>
      <ns0:c r="B17" s="68" t="n"/>
      <ns0:c r="C17" s="68" t="n"/>
      <ns0:c r="D17" s="69" t="n"/>
      <ns0:c r="E17" s="69" t="n"/>
      <ns0:c r="F17" s="73" t="n">
        <ns0:f>IF(C17="Approved",IF(OR(D17="",E17=""),"",ROUND(D17-E17,2)),0)</ns0:f>
        <ns0:v>0</ns0:v>
      </ns0:c>
      <ns0:c r="G17" s="68" t="n"/>
    </ns0:row>
    <ns0:row r="18" ht="32" customHeight="1" s="59">
      <ns0:c r="A18" s="68" t="n"/>
      <ns0:c r="B18" s="68" t="n"/>
      <ns0:c r="C18" s="68" t="n"/>
      <ns0:c r="D18" s="69" t="n"/>
      <ns0:c r="E18" s="69" t="n"/>
      <ns0:c r="F18" s="72" t="n">
        <ns0:f>IF(C18="Approved",IF(OR(D18="",E18=""),"",ROUND(D18-E18,2)),0)</ns0:f>
        <ns0:v>0</ns0:v>
      </ns0:c>
      <ns0:c r="G18" s="68" t="n"/>
    </ns0:row>
    <ns0:row r="19" ht="32" customHeight="1" s="59">
      <ns0:c r="A19" s="68" t="n"/>
      <ns0:c r="B19" s="68" t="n"/>
      <ns0:c r="C19" s="68" t="n"/>
      <ns0:c r="D19" s="69" t="n"/>
      <ns0:c r="E19" s="69" t="n"/>
      <ns0:c r="F19" s="73" t="n">
        <ns0:f>IF(C19="Approved",IF(OR(D19="",E19=""),"",ROUND(D19-E19,2)),0)</ns0:f>
        <ns0:v>0</ns0:v>
      </ns0:c>
      <ns0:c r="G19" s="68" t="n"/>
    </ns0:row>
    <ns0:row r="20" ht="32" customHeight="1" s="59">
      <ns0:c r="A20" s="68" t="n"/>
      <ns0:c r="B20" s="68" t="n"/>
      <ns0:c r="C20" s="68" t="n"/>
      <ns0:c r="D20" s="69" t="n"/>
      <ns0:c r="E20" s="69" t="n"/>
      <ns0:c r="F20" s="72" t="n">
        <ns0:f>IF(C20="Approved",IF(OR(D20="",E20=""),"",ROUND(D20-E20,2)),0)</ns0:f>
        <ns0:v>0</ns0:v>
      </ns0:c>
      <ns0:c r="G20" s="68" t="n"/>
    </ns0:row>
    <ns0:row r="21" ht="32" customHeight="1" s="59">
      <ns0:c r="A21" s="68" t="n"/>
      <ns0:c r="B21" s="68" t="n"/>
      <ns0:c r="C21" s="68" t="n"/>
      <ns0:c r="D21" s="69" t="n"/>
      <ns0:c r="E21" s="69" t="n"/>
      <ns0:c r="F21" s="73" t="n">
        <ns0:f>IF(C21="Approved",IF(OR(D21="",E21=""),"",ROUND(D21-E21,2)),0)</ns0:f>
        <ns0:v>0</ns0:v>
      </ns0:c>
      <ns0:c r="G21" s="68" t="n"/>
    </ns0:row>
    <ns0:row r="22" ht="32" customHeight="1" s="59">
      <ns0:c r="A22" s="68" t="n"/>
      <ns0:c r="B22" s="68" t="n"/>
      <ns0:c r="C22" s="68" t="n"/>
      <ns0:c r="D22" s="69" t="n"/>
      <ns0:c r="E22" s="69" t="n"/>
      <ns0:c r="F22" s="72" t="n">
        <ns0:f>IF(C22="Approved",IF(OR(D22="",E22=""),"",ROUND(D22-E22,2)),0)</ns0:f>
        <ns0:v>0</ns0:v>
      </ns0:c>
      <ns0:c r="G22" s="68" t="n"/>
    </ns0:row>
    <ns0:row r="23" ht="32" customHeight="1" s="59">
      <ns0:c r="A23" s="68" t="n"/>
      <ns0:c r="B23" s="68" t="n"/>
      <ns0:c r="C23" s="68" t="n"/>
      <ns0:c r="D23" s="69" t="n"/>
      <ns0:c r="E23" s="69" t="n"/>
      <ns0:c r="F23" s="73" t="n">
        <ns0:f>IF(C23="Approved",IF(OR(D23="",E23=""),"",ROUND(D23-E23,2)),0)</ns0:f>
        <ns0:v>0</ns0:v>
      </ns0:c>
      <ns0:c r="G23" s="68" t="n"/>
    </ns0:row>
    <ns0:row r="24" ht="32" customHeight="1" s="59">
      <ns0:c r="A24" s="68" t="n"/>
      <ns0:c r="B24" s="68" t="n"/>
      <ns0:c r="C24" s="68" t="n"/>
      <ns0:c r="D24" s="69" t="n"/>
      <ns0:c r="E24" s="69" t="n"/>
      <ns0:c r="F24" s="72" t="n">
        <ns0:f>IF(C24="Approved",IF(OR(D24="",E24=""),"",ROUND(D24-E24,2)),0)</ns0:f>
        <ns0:v>0</ns0:v>
      </ns0:c>
      <ns0:c r="G24" s="68" t="n"/>
    </ns0:row>
    <ns0:row r="25" ht="32" customHeight="1" s="59">
      <ns0:c r="A25" s="68" t="n"/>
      <ns0:c r="B25" s="68" t="n"/>
      <ns0:c r="C25" s="68" t="n"/>
      <ns0:c r="D25" s="69" t="n"/>
      <ns0:c r="E25" s="69" t="n"/>
      <ns0:c r="F25" s="73" t="n">
        <ns0:f>IF(C25="Approved",IF(OR(D25="",E25=""),"",ROUND(D25-E25,2)),0)</ns0:f>
        <ns0:v>0</ns0:v>
      </ns0:c>
      <ns0:c r="G25" s="68" t="n"/>
    </ns0:row>
    <ns0:row r="26" ht="32" customHeight="1" s="59">
      <ns0:c r="A26" s="68" t="n"/>
      <ns0:c r="B26" s="68" t="n"/>
      <ns0:c r="C26" s="68" t="n"/>
      <ns0:c r="D26" s="69" t="n"/>
      <ns0:c r="E26" s="69" t="n"/>
      <ns0:c r="F26" s="72" t="n">
        <ns0:f>IF(C26="Approved",IF(OR(D26="",E26=""),"",ROUND(D26-E26,2)),0)</ns0:f>
        <ns0:v>0</ns0:v>
      </ns0:c>
      <ns0:c r="G26" s="68" t="n"/>
    </ns0:row>
    <ns0:row r="27" ht="32" customHeight="1" s="59">
      <ns0:c r="A27" s="68" t="n"/>
      <ns0:c r="B27" s="68" t="n"/>
      <ns0:c r="C27" s="68" t="n"/>
      <ns0:c r="D27" s="69" t="n"/>
      <ns0:c r="E27" s="69" t="n"/>
      <ns0:c r="F27" s="73" t="n">
        <ns0:f>IF(C27="Approved",IF(OR(D27="",E27=""),"",ROUND(D27-E27,2)),0)</ns0:f>
        <ns0:v>0</ns0:v>
      </ns0:c>
      <ns0:c r="G27" s="68" t="n"/>
    </ns0:row>
    <ns0:row r="28" ht="32" customHeight="1" s="59">
      <ns0:c r="A28" s="68" t="n"/>
      <ns0:c r="B28" s="68" t="n"/>
      <ns0:c r="C28" s="68" t="n"/>
      <ns0:c r="D28" s="69" t="n"/>
      <ns0:c r="E28" s="69" t="n"/>
      <ns0:c r="F28" s="72" t="n">
        <ns0:f>IF(C28="Approved",IF(OR(D28="",E28=""),"",ROUND(D28-E28,2)),0)</ns0:f>
        <ns0:v>0</ns0:v>
      </ns0:c>
      <ns0:c r="G28" s="68" t="n"/>
    </ns0:row>
    <ns0:row r="29" ht="32" customHeight="1" s="59">
      <ns0:c r="A29" s="68" t="n"/>
      <ns0:c r="B29" s="68" t="n"/>
      <ns0:c r="C29" s="68" t="n"/>
      <ns0:c r="D29" s="69" t="n"/>
      <ns0:c r="E29" s="69" t="n"/>
      <ns0:c r="F29" s="73" t="n">
        <ns0:f>IF(C29="Approved",IF(OR(D29="",E29=""),"",ROUND(D29-E29,2)),0)</ns0:f>
        <ns0:v>0</ns0:v>
      </ns0:c>
      <ns0:c r="G29" s="68" t="n"/>
    </ns0:row>
    <ns0:row r="30" ht="32" customHeight="1" s="59">
      <ns0:c r="A30" s="68" t="n"/>
      <ns0:c r="B30" s="68" t="n"/>
      <ns0:c r="C30" s="68" t="n"/>
      <ns0:c r="D30" s="69" t="n"/>
      <ns0:c r="E30" s="69" t="n"/>
      <ns0:c r="F30" s="72" t="n">
        <ns0:f>IF(C30="Approved",IF(OR(D30="",E30=""),"",ROUND(D30-E30,2)),0)</ns0:f>
        <ns0:v>0</ns0:v>
      </ns0:c>
      <ns0:c r="G30" s="68" t="n"/>
    </ns0:row>
    <ns0:row r="31" ht="32" customHeight="1" s="59">
      <ns0:c r="A31" s="68" t="n"/>
      <ns0:c r="B31" s="68" t="n"/>
      <ns0:c r="C31" s="68" t="n"/>
      <ns0:c r="D31" s="69" t="n"/>
      <ns0:c r="E31" s="69" t="n"/>
      <ns0:c r="F31" s="73" t="n">
        <ns0:f>IF(C31="Approved",IF(OR(D31="",E31=""),"",ROUND(D31-E31,2)),0)</ns0:f>
        <ns0:v>0</ns0:v>
      </ns0:c>
      <ns0:c r="G31" s="68" t="n"/>
    </ns0:row>
    <ns0:row r="32" ht="32" customHeight="1" s="59">
      <ns0:c r="A32" s="68" t="n"/>
      <ns0:c r="B32" s="68" t="n"/>
      <ns0:c r="C32" s="68" t="n"/>
      <ns0:c r="D32" s="69" t="n"/>
      <ns0:c r="E32" s="69" t="n"/>
      <ns0:c r="F32" s="72" t="n">
        <ns0:f>IF(C32="Approved",IF(OR(D32="",E32=""),"",ROUND(D32-E32,2)),0)</ns0:f>
        <ns0:v>0</ns0:v>
      </ns0:c>
      <ns0:c r="G32" s="68" t="n"/>
    </ns0:row>
    <ns0:row r="33" ht="32" customHeight="1" s="59">
      <ns0:c r="A33" s="68" t="n"/>
      <ns0:c r="B33" s="68" t="n"/>
      <ns0:c r="C33" s="68" t="n"/>
      <ns0:c r="D33" s="69" t="n"/>
      <ns0:c r="E33" s="69" t="n"/>
      <ns0:c r="F33" s="73" t="n">
        <ns0:f>IF(C33="Approved",IF(OR(D33="",E33=""),"",ROUND(D33-E33,2)),0)</ns0:f>
        <ns0:v>0</ns0:v>
      </ns0:c>
      <ns0:c r="G33" s="68" t="n"/>
    </ns0:row>
    <ns0:row r="34" ht="32" customHeight="1" s="59">
      <ns0:c r="A34" s="68" t="n"/>
      <ns0:c r="B34" s="68" t="n"/>
      <ns0:c r="C34" s="68" t="n"/>
      <ns0:c r="D34" s="69" t="n"/>
      <ns0:c r="E34" s="69" t="n"/>
      <ns0:c r="F34" s="72" t="n">
        <ns0:f>IF(C34="Approved",IF(OR(D34="",E34=""),"",ROUND(D34-E34,2)),0)</ns0:f>
        <ns0:v>0</ns0:v>
      </ns0:c>
      <ns0:c r="G34" s="68" t="n"/>
    </ns0:row>
    <ns0:row r="35" ht="32" customHeight="1" s="59">
      <ns0:c r="A35" s="68" t="n"/>
      <ns0:c r="B35" s="68" t="n"/>
      <ns0:c r="C35" s="68" t="n"/>
      <ns0:c r="D35" s="69" t="n"/>
      <ns0:c r="E35" s="69" t="n"/>
      <ns0:c r="F35" s="73" t="n">
        <ns0:f>IF(C35="Approved",IF(OR(D35="",E35=""),"",ROUND(D35-E35,2)),0)</ns0:f>
        <ns0:v>0</ns0:v>
      </ns0:c>
      <ns0:c r="G35" s="68" t="n"/>
    </ns0:row>
    <ns0:row r="36" ht="32" customHeight="1" s="59">
      <ns0:c r="A36" s="68" t="n"/>
      <ns0:c r="B36" s="68" t="n"/>
      <ns0:c r="C36" s="68" t="n"/>
      <ns0:c r="D36" s="69" t="n"/>
      <ns0:c r="E36" s="69" t="n"/>
      <ns0:c r="F36" s="72" t="n">
        <ns0:f>IF(C36="Approved",IF(OR(D36="",E36=""),"",ROUND(D36-E36,2)),0)</ns0:f>
        <ns0:v>0</ns0:v>
      </ns0:c>
      <ns0:c r="G36" s="68" t="n"/>
    </ns0:row>
    <ns0:row r="37" ht="32" customHeight="1" s="59">
      <ns0:c r="A37" s="68" t="n"/>
      <ns0:c r="B37" s="68" t="n"/>
      <ns0:c r="C37" s="68" t="n"/>
      <ns0:c r="D37" s="69" t="n"/>
      <ns0:c r="E37" s="69" t="n"/>
      <ns0:c r="F37" s="73" t="n">
        <ns0:f>IF(C37="Approved",IF(OR(D37="",E37=""),"",ROUND(D37-E37,2)),0)</ns0:f>
        <ns0:v>0</ns0:v>
      </ns0:c>
      <ns0:c r="G37" s="68" t="n"/>
    </ns0:row>
    <ns0:row r="38" ht="32" customHeight="1" s="59">
      <ns0:c r="A38" s="68" t="n"/>
      <ns0:c r="B38" s="68" t="n"/>
      <ns0:c r="C38" s="68" t="n"/>
      <ns0:c r="D38" s="69" t="n"/>
      <ns0:c r="E38" s="69" t="n"/>
      <ns0:c r="F38" s="72" t="n">
        <ns0:f>IF(C38="Approved",IF(OR(D38="",E38=""),"",ROUND(D38-E38,2)),0)</ns0:f>
        <ns0:v>0</ns0:v>
      </ns0:c>
      <ns0:c r="G38" s="68" t="n"/>
    </ns0:row>
    <ns0:row r="39" ht="32" customHeight="1" s="59">
      <ns0:c r="A39" s="68" t="n"/>
      <ns0:c r="B39" s="68" t="n"/>
      <ns0:c r="C39" s="68" t="n"/>
      <ns0:c r="D39" s="69" t="n"/>
      <ns0:c r="E39" s="69" t="n"/>
      <ns0:c r="F39" s="73" t="n">
        <ns0:f>IF(C39="Approved",IF(OR(D39="",E39=""),"",ROUND(D39-E39,2)),0)</ns0:f>
        <ns0:v>0</ns0:v>
      </ns0:c>
      <ns0:c r="G39" s="68" t="n"/>
    </ns0:row>
    <ns0:row r="40" ht="32" customHeight="1" s="59">
      <ns0:c r="A40" s="68" t="n"/>
      <ns0:c r="B40" s="68" t="n"/>
      <ns0:c r="C40" s="68" t="n"/>
      <ns0:c r="D40" s="69" t="n"/>
      <ns0:c r="E40" s="69" t="n"/>
      <ns0:c r="F40" s="72" t="n">
        <ns0:f>IF(C40="Approved",IF(OR(D40="",E40=""),"",ROUND(D40-E40,2)),0)</ns0:f>
        <ns0:v>0</ns0:v>
      </ns0:c>
      <ns0:c r="G40" s="68" t="n"/>
    </ns0:row>
    <ns0:row r="41" ht="32" customHeight="1" s="59">
      <ns0:c r="A41" s="68" t="n"/>
      <ns0:c r="B41" s="68" t="n"/>
      <ns0:c r="C41" s="68" t="n"/>
      <ns0:c r="D41" s="69" t="n"/>
      <ns0:c r="E41" s="69" t="n"/>
      <ns0:c r="F41" s="73" t="n">
        <ns0:f>IF(C41="Approved",IF(OR(D41="",E41=""),"",ROUND(D41-E41,2)),0)</ns0:f>
        <ns0:v>0</ns0:v>
      </ns0:c>
      <ns0:c r="G41" s="68" t="n"/>
    </ns0:row>
    <ns0:row r="42" ht="32" customHeight="1" s="59">
      <ns0:c r="A42" s="68" t="n"/>
      <ns0:c r="B42" s="68" t="n"/>
      <ns0:c r="C42" s="68" t="n"/>
      <ns0:c r="D42" s="69" t="n"/>
      <ns0:c r="E42" s="69" t="n"/>
      <ns0:c r="F42" s="72" t="n">
        <ns0:f>IF(C42="Approved",IF(OR(D42="",E42=""),"",ROUND(D42-E42,2)),0)</ns0:f>
        <ns0:v>0</ns0:v>
      </ns0:c>
      <ns0:c r="G42" s="68" t="n"/>
    </ns0:row>
    <ns0:row r="43" ht="32" customHeight="1" s="59">
      <ns0:c r="A43" s="68" t="n"/>
      <ns0:c r="B43" s="68" t="n"/>
      <ns0:c r="C43" s="68" t="n"/>
      <ns0:c r="D43" s="69" t="n"/>
      <ns0:c r="E43" s="69" t="n"/>
      <ns0:c r="F43" s="73" t="n">
        <ns0:f>IF(C43="Approved",IF(OR(D43="",E43=""),"",ROUND(D43-E43,2)),0)</ns0:f>
        <ns0:v>0</ns0:v>
      </ns0:c>
      <ns0:c r="G43" s="68" t="n"/>
    </ns0:row>
    <ns0:row r="44" ht="32" customHeight="1" s="59">
      <ns0:c r="A44" s="68" t="n"/>
      <ns0:c r="B44" s="68" t="n"/>
      <ns0:c r="C44" s="68" t="n"/>
      <ns0:c r="D44" s="69" t="n"/>
      <ns0:c r="E44" s="69" t="n"/>
      <ns0:c r="F44" s="72" t="n">
        <ns0:f>IF(C44="Approved",IF(OR(D44="",E44=""),"",ROUND(D44-E44,2)),0)</ns0:f>
        <ns0:v>0</ns0:v>
      </ns0:c>
      <ns0:c r="G44" s="68" t="n"/>
    </ns0:row>
    <ns0:row r="45" ht="32" customHeight="1" s="59">
      <ns0:c r="A45" s="68" t="n"/>
      <ns0:c r="B45" s="68" t="n"/>
      <ns0:c r="C45" s="68" t="n"/>
      <ns0:c r="D45" s="69" t="n"/>
      <ns0:c r="E45" s="69" t="n"/>
      <ns0:c r="F45" s="73" t="n">
        <ns0:f>IF(C45="Approved",IF(OR(D45="",E45=""),"",ROUND(D45-E45,2)),0)</ns0:f>
        <ns0:v>0</ns0:v>
      </ns0:c>
      <ns0:c r="G45" s="68" t="n"/>
    </ns0:row>
    <ns0:row r="46" ht="32" customHeight="1" s="59">
      <ns0:c r="A46" s="68" t="n"/>
      <ns0:c r="B46" s="68" t="n"/>
      <ns0:c r="C46" s="68" t="n"/>
      <ns0:c r="D46" s="69" t="n"/>
      <ns0:c r="E46" s="69" t="n"/>
      <ns0:c r="F46" s="72" t="n">
        <ns0:f>IF(C46="Approved",IF(OR(D46="",E46=""),"",ROUND(D46-E46,2)),0)</ns0:f>
        <ns0:v>0</ns0:v>
      </ns0:c>
      <ns0:c r="G46" s="68" t="n"/>
    </ns0:row>
    <ns0:row r="47" ht="32" customHeight="1" s="59">
      <ns0:c r="A47" s="68" t="n"/>
      <ns0:c r="B47" s="68" t="n"/>
      <ns0:c r="C47" s="68" t="n"/>
      <ns0:c r="D47" s="69" t="n"/>
      <ns0:c r="E47" s="69" t="n"/>
      <ns0:c r="F47" s="73" t="n">
        <ns0:f>IF(C47="Approved",IF(OR(D47="",E47=""),"",ROUND(D47-E47,2)),0)</ns0:f>
        <ns0:v>0</ns0:v>
      </ns0:c>
      <ns0:c r="G47" s="68" t="n"/>
    </ns0:row>
    <ns0:row r="48" ht="32" customHeight="1" s="59">
      <ns0:c r="A48" s="68" t="n"/>
      <ns0:c r="B48" s="68" t="n"/>
      <ns0:c r="C48" s="68" t="n"/>
      <ns0:c r="D48" s="69" t="n"/>
      <ns0:c r="E48" s="69" t="n"/>
      <ns0:c r="F48" s="72" t="n">
        <ns0:f>IF(C48="Approved",IF(OR(D48="",E48=""),"",ROUND(D48-E48,2)),0)</ns0:f>
        <ns0:v>0</ns0:v>
      </ns0:c>
      <ns0:c r="G48" s="68" t="n"/>
    </ns0:row>
    <ns0:row r="49" ht="32" customHeight="1" s="59">
      <ns0:c r="A49" s="68" t="n"/>
      <ns0:c r="B49" s="68" t="n"/>
      <ns0:c r="C49" s="68" t="n"/>
      <ns0:c r="D49" s="69" t="n"/>
      <ns0:c r="E49" s="69" t="n"/>
      <ns0:c r="F49" s="73" t="n">
        <ns0:f>IF(C49="Approved",IF(OR(D49="",E49=""),"",ROUND(D49-E49,2)),0)</ns0:f>
        <ns0:v>0</ns0:v>
      </ns0:c>
      <ns0:c r="G49" s="68" t="n"/>
    </ns0:row>
    <ns0:row r="50" ht="32" customHeight="1" s="59">
      <ns0:c r="A50" s="68" t="n"/>
      <ns0:c r="B50" s="68" t="n"/>
      <ns0:c r="C50" s="68" t="n"/>
      <ns0:c r="D50" s="69" t="n"/>
      <ns0:c r="E50" s="69" t="n"/>
      <ns0:c r="F50" s="72" t="n">
        <ns0:f>IF(C50="Approved",IF(OR(D50="",E50=""),"",ROUND(D50-E50,2)),0)</ns0:f>
        <ns0:v>0</ns0:v>
      </ns0:c>
      <ns0:c r="G50" s="68" t="n"/>
    </ns0:row>
    <ns0:row r="51" ht="32" customHeight="1" s="59">
      <ns0:c r="A51" s="68" t="n"/>
      <ns0:c r="B51" s="68" t="n"/>
      <ns0:c r="C51" s="68" t="n"/>
      <ns0:c r="D51" s="69" t="n"/>
      <ns0:c r="E51" s="69" t="n"/>
      <ns0:c r="F51" s="73" t="n">
        <ns0:f>IF(C51="Approved",IF(OR(D51="",E51=""),"",ROUND(D51-E51,2)),0)</ns0:f>
        <ns0:v>0</ns0:v>
      </ns0:c>
      <ns0:c r="G51" s="68" t="n"/>
    </ns0:row>
    <ns0:row r="52" ht="32" customHeight="1" s="59">
      <ns0:c r="A52" s="68" t="n"/>
      <ns0:c r="B52" s="68" t="n"/>
      <ns0:c r="C52" s="68" t="n"/>
      <ns0:c r="D52" s="69" t="n"/>
      <ns0:c r="E52" s="69" t="n"/>
      <ns0:c r="F52" s="72" t="n">
        <ns0:f>IF(C52="Approved",IF(OR(D52="",E52=""),"",ROUND(D52-E52,2)),0)</ns0:f>
        <ns0:v>0</ns0:v>
      </ns0:c>
      <ns0:c r="G52" s="68" t="n"/>
    </ns0:row>
    <ns0:row r="53" ht="32" customHeight="1" s="59">
      <ns0:c r="A53" s="68" t="n"/>
      <ns0:c r="B53" s="68" t="n"/>
      <ns0:c r="C53" s="68" t="n"/>
      <ns0:c r="D53" s="69" t="n"/>
      <ns0:c r="E53" s="69" t="n"/>
      <ns0:c r="F53" s="73" t="n">
        <ns0:f>IF(C53="Approved",IF(OR(D53="",E53=""),"",ROUND(D53-E53,2)),0)</ns0:f>
        <ns0:v>0</ns0:v>
      </ns0:c>
      <ns0:c r="G53" s="68" t="n"/>
    </ns0:row>
    <ns0:row r="54" ht="32" customHeight="1" s="59">
      <ns0:c r="A54" s="68" t="n"/>
      <ns0:c r="B54" s="68" t="n"/>
      <ns0:c r="C54" s="68" t="n"/>
      <ns0:c r="D54" s="69" t="n"/>
      <ns0:c r="E54" s="69" t="n"/>
      <ns0:c r="F54" s="72" t="n">
        <ns0:f>IF(C54="Approved",IF(OR(D54="",E54=""),"",ROUND(D54-E54,2)),0)</ns0:f>
        <ns0:v>0</ns0:v>
      </ns0:c>
      <ns0:c r="G54" s="68" t="n"/>
    </ns0:row>
    <ns0:row r="55" ht="32" customHeight="1" s="59">
      <ns0:c r="A55" s="68" t="n"/>
      <ns0:c r="B55" s="68" t="n"/>
      <ns0:c r="C55" s="68" t="n"/>
      <ns0:c r="D55" s="69" t="n"/>
      <ns0:c r="E55" s="69" t="n"/>
      <ns0:c r="F55" s="73" t="n">
        <ns0:f>IF(C55="Approved",IF(OR(D55="",E55=""),"",ROUND(D55-E55,2)),0)</ns0:f>
        <ns0:v>0</ns0:v>
      </ns0:c>
      <ns0:c r="G55" s="68" t="n"/>
    </ns0:row>
    <ns0:row r="56" ht="32" customHeight="1" s="59">
      <ns0:c r="A56" s="68" t="n"/>
      <ns0:c r="B56" s="68" t="n"/>
      <ns0:c r="C56" s="68" t="n"/>
      <ns0:c r="D56" s="69" t="n"/>
      <ns0:c r="E56" s="69" t="n"/>
      <ns0:c r="F56" s="72" t="n">
        <ns0:f>IF(C56="Approved",IF(OR(D56="",E56=""),"",ROUND(D56-E56,2)),0)</ns0:f>
        <ns0:v>0</ns0:v>
      </ns0:c>
      <ns0:c r="G56" s="68" t="n"/>
    </ns0:row>
    <ns0:row r="57" ht="32" customHeight="1" s="59">
      <ns0:c r="A57" s="68" t="n"/>
      <ns0:c r="B57" s="68" t="n"/>
      <ns0:c r="C57" s="68" t="n"/>
      <ns0:c r="D57" s="69" t="n"/>
      <ns0:c r="E57" s="69" t="n"/>
      <ns0:c r="F57" s="73" t="n">
        <ns0:f>IF(C57="Approved",IF(OR(D57="",E57=""),"",ROUND(D57-E57,2)),0)</ns0:f>
        <ns0:v>0</ns0:v>
      </ns0:c>
      <ns0:c r="G57" s="68" t="n"/>
    </ns0:row>
    <ns0:row r="58" ht="32" customHeight="1" s="59">
      <ns0:c r="A58" s="68" t="n"/>
      <ns0:c r="B58" s="68" t="n"/>
      <ns0:c r="C58" s="68" t="n"/>
      <ns0:c r="D58" s="69" t="n"/>
      <ns0:c r="E58" s="69" t="n"/>
      <ns0:c r="F58" s="72" t="n">
        <ns0:f>IF(C58="Approved",IF(OR(D58="",E58=""),"",ROUND(D58-E58,2)),0)</ns0:f>
        <ns0:v>0</ns0:v>
      </ns0:c>
      <ns0:c r="G58" s="68" t="n"/>
    </ns0:row>
    <ns0:row r="59" ht="32" customHeight="1" s="59">
      <ns0:c r="A59" s="68" t="n"/>
      <ns0:c r="B59" s="68" t="n"/>
      <ns0:c r="C59" s="68" t="n"/>
      <ns0:c r="D59" s="69" t="n"/>
      <ns0:c r="E59" s="69" t="n"/>
      <ns0:c r="F59" s="73" t="n">
        <ns0:f>IF(C59="Approved",IF(OR(D59="",E59=""),"",ROUND(D59-E59,2)),0)</ns0:f>
        <ns0:v>0</ns0:v>
      </ns0:c>
      <ns0:c r="G59" s="68" t="n"/>
    </ns0:row>
    <ns0:row r="60" ht="32" customHeight="1" s="59">
      <ns0:c r="A60" s="68" t="n"/>
      <ns0:c r="B60" s="68" t="n"/>
      <ns0:c r="C60" s="68" t="n"/>
      <ns0:c r="D60" s="69" t="n"/>
      <ns0:c r="E60" s="69" t="n"/>
      <ns0:c r="F60" s="72" t="n">
        <ns0:f>IF(C60="Approved",IF(OR(D60="",E60=""),"",ROUND(D60-E60,2)),0)</ns0:f>
        <ns0:v>0</ns0:v>
      </ns0:c>
      <ns0:c r="G60" s="68" t="n"/>
    </ns0:row>
    <ns0:row r="61" ht="32" customHeight="1" s="59">
      <ns0:c r="A61" s="68" t="n"/>
      <ns0:c r="B61" s="68" t="n"/>
      <ns0:c r="C61" s="68" t="n"/>
      <ns0:c r="D61" s="69" t="n"/>
      <ns0:c r="E61" s="69" t="n"/>
      <ns0:c r="F61" s="73" t="n">
        <ns0:f>IF(C61="Approved",IF(OR(D61="",E61=""),"",ROUND(D61-E61,2)),0)</ns0:f>
        <ns0:v>0</ns0:v>
      </ns0:c>
      <ns0:c r="G61" s="68" t="n"/>
    </ns0:row>
    <ns0:row r="62" ht="32" customHeight="1" s="59">
      <ns0:c r="A62" s="68" t="n"/>
      <ns0:c r="B62" s="68" t="n"/>
      <ns0:c r="C62" s="68" t="n"/>
      <ns0:c r="D62" s="69" t="n"/>
      <ns0:c r="E62" s="69" t="n"/>
      <ns0:c r="F62" s="72" t="n">
        <ns0:f>IF(C62="Approved",IF(OR(D62="",E62=""),"",ROUND(D62-E62,2)),0)</ns0:f>
        <ns0:v>0</ns0:v>
      </ns0:c>
      <ns0:c r="G62" s="68" t="n"/>
    </ns0:row>
    <ns0:row r="63" ht="32" customHeight="1" s="59">
      <ns0:c r="A63" s="68" t="n"/>
      <ns0:c r="B63" s="68" t="n"/>
      <ns0:c r="C63" s="68" t="n"/>
      <ns0:c r="D63" s="69" t="n"/>
      <ns0:c r="E63" s="69" t="n"/>
      <ns0:c r="F63" s="73" t="n">
        <ns0:f>IF(C63="Approved",IF(OR(D63="",E63=""),"",ROUND(D63-E63,2)),0)</ns0:f>
        <ns0:v>0</ns0:v>
      </ns0:c>
      <ns0:c r="G63" s="68" t="n"/>
    </ns0:row>
    <ns0:row r="64" ht="32" customHeight="1" s="59">
      <ns0:c r="A64" s="68" t="n"/>
      <ns0:c r="B64" s="68" t="n"/>
      <ns0:c r="C64" s="68" t="n"/>
      <ns0:c r="D64" s="69" t="n"/>
      <ns0:c r="E64" s="69" t="n"/>
      <ns0:c r="F64" s="72" t="n">
        <ns0:f>IF(C64="Approved",IF(OR(D64="",E64=""),"",ROUND(D64-E64,2)),0)</ns0:f>
        <ns0:v>0</ns0:v>
      </ns0:c>
      <ns0:c r="G64" s="68" t="n"/>
    </ns0:row>
    <ns0:row r="65" ht="32" customHeight="1" s="59">
      <ns0:c r="A65" s="68" t="n"/>
      <ns0:c r="B65" s="68" t="n"/>
      <ns0:c r="C65" s="68" t="n"/>
      <ns0:c r="D65" s="69" t="n"/>
      <ns0:c r="E65" s="69" t="n"/>
      <ns0:c r="F65" s="73" t="n">
        <ns0:f>IF(C65="Approved",IF(OR(D65="",E65=""),"",ROUND(D65-E65,2)),0)</ns0:f>
        <ns0:v>0</ns0:v>
      </ns0:c>
      <ns0:c r="G65" s="68" t="n"/>
    </ns0:row>
    <ns0:row r="66" ht="32" customHeight="1" s="59">
      <ns0:c r="A66" s="68" t="n"/>
      <ns0:c r="B66" s="68" t="n"/>
      <ns0:c r="C66" s="68" t="n"/>
      <ns0:c r="D66" s="69" t="n"/>
      <ns0:c r="E66" s="69" t="n"/>
      <ns0:c r="F66" s="72" t="n">
        <ns0:f>IF(C66="Approved",IF(OR(D66="",E66=""),"",ROUND(D66-E66,2)),0)</ns0:f>
        <ns0:v>0</ns0:v>
      </ns0:c>
      <ns0:c r="G66" s="68" t="n"/>
    </ns0:row>
    <ns0:row r="67" ht="32" customHeight="1" s="59">
      <ns0:c r="A67" s="68" t="n"/>
      <ns0:c r="B67" s="68" t="n"/>
      <ns0:c r="C67" s="68" t="n"/>
      <ns0:c r="D67" s="69" t="n"/>
      <ns0:c r="E67" s="69" t="n"/>
      <ns0:c r="F67" s="73" t="n">
        <ns0:f>IF(C67="Approved",IF(OR(D67="",E67=""),"",ROUND(D67-E67,2)),0)</ns0:f>
        <ns0:v>0</ns0:v>
      </ns0:c>
      <ns0:c r="G67" s="68" t="n"/>
    </ns0:row>
    <ns0:row r="68" ht="32" customHeight="1" s="59">
      <ns0:c r="A68" s="68" t="n"/>
      <ns0:c r="B68" s="68" t="n"/>
      <ns0:c r="C68" s="68" t="n"/>
      <ns0:c r="D68" s="69" t="n"/>
      <ns0:c r="E68" s="69" t="n"/>
      <ns0:c r="F68" s="72" t="n">
        <ns0:f>IF(C68="Approved",IF(OR(D68="",E68=""),"",ROUND(D68-E68,2)),0)</ns0:f>
        <ns0:v>0</ns0:v>
      </ns0:c>
      <ns0:c r="G68" s="68" t="n"/>
    </ns0:row>
    <ns0:row r="69" ht="32" customHeight="1" s="59">
      <ns0:c r="A69" s="68" t="n"/>
      <ns0:c r="B69" s="68" t="n"/>
      <ns0:c r="C69" s="68" t="n"/>
      <ns0:c r="D69" s="69" t="n"/>
      <ns0:c r="E69" s="69" t="n"/>
      <ns0:c r="F69" s="73" t="n">
        <ns0:f>IF(C69="Approved",IF(OR(D69="",E69=""),"",ROUND(D69-E69,2)),0)</ns0:f>
        <ns0:v>0</ns0:v>
      </ns0:c>
      <ns0:c r="G69" s="68" t="n"/>
    </ns0:row>
    <ns0:row r="70" ht="32" customHeight="1" s="59">
      <ns0:c r="A70" s="68" t="n"/>
      <ns0:c r="B70" s="68" t="n"/>
      <ns0:c r="C70" s="68" t="n"/>
      <ns0:c r="D70" s="69" t="n"/>
      <ns0:c r="E70" s="69" t="n"/>
      <ns0:c r="F70" s="72" t="n">
        <ns0:f>IF(C70="Approved",IF(OR(D70="",E70=""),"",ROUND(D70-E70,2)),0)</ns0:f>
        <ns0:v>0</ns0:v>
      </ns0:c>
      <ns0:c r="G70" s="68" t="n"/>
    </ns0:row>
    <ns0:row r="71" ht="32" customHeight="1" s="59">
      <ns0:c r="A71" s="68" t="n"/>
      <ns0:c r="B71" s="68" t="n"/>
      <ns0:c r="C71" s="68" t="n"/>
      <ns0:c r="D71" s="69" t="n"/>
      <ns0:c r="E71" s="69" t="n"/>
      <ns0:c r="F71" s="73" t="n">
        <ns0:f>IF(C71="Approved",IF(OR(D71="",E71=""),"",ROUND(D71-E71,2)),0)</ns0:f>
        <ns0:v>0</ns0:v>
      </ns0:c>
      <ns0:c r="G71" s="68" t="n"/>
    </ns0:row>
    <ns0:row r="72" ht="32" customHeight="1" s="59">
      <ns0:c r="A72" s="68" t="n"/>
      <ns0:c r="B72" s="68" t="n"/>
      <ns0:c r="C72" s="68" t="n"/>
      <ns0:c r="D72" s="69" t="n"/>
      <ns0:c r="E72" s="69" t="n"/>
      <ns0:c r="F72" s="72" t="n">
        <ns0:f>IF(C72="Approved",IF(OR(D72="",E72=""),"",ROUND(D72-E72,2)),0)</ns0:f>
        <ns0:v>0</ns0:v>
      </ns0:c>
      <ns0:c r="G72" s="68" t="n"/>
    </ns0:row>
    <ns0:row r="73" ht="32" customHeight="1" s="59">
      <ns0:c r="A73" s="68" t="n"/>
      <ns0:c r="B73" s="68" t="n"/>
      <ns0:c r="C73" s="68" t="n"/>
      <ns0:c r="D73" s="69" t="n"/>
      <ns0:c r="E73" s="69" t="n"/>
      <ns0:c r="F73" s="73" t="n">
        <ns0:f>IF(C73="Approved",IF(OR(D73="",E73=""),"",ROUND(D73-E73,2)),0)</ns0:f>
        <ns0:v>0</ns0:v>
      </ns0:c>
      <ns0:c r="G73" s="68" t="n"/>
    </ns0:row>
    <ns0:row r="74" ht="32" customHeight="1" s="59">
      <ns0:c r="A74" s="68" t="n"/>
      <ns0:c r="B74" s="68" t="n"/>
      <ns0:c r="C74" s="68" t="n"/>
      <ns0:c r="D74" s="69" t="n"/>
      <ns0:c r="E74" s="69" t="n"/>
      <ns0:c r="F74" s="72" t="n">
        <ns0:f>IF(C74="Approved",IF(OR(D74="",E74=""),"",ROUND(D74-E74,2)),0)</ns0:f>
        <ns0:v>0</ns0:v>
      </ns0:c>
      <ns0:c r="G74" s="68" t="n"/>
    </ns0:row>
    <ns0:row r="75" ht="32" customHeight="1" s="59">
      <ns0:c r="A75" s="68" t="n"/>
      <ns0:c r="B75" s="68" t="n"/>
      <ns0:c r="C75" s="68" t="n"/>
      <ns0:c r="D75" s="69" t="n"/>
      <ns0:c r="E75" s="69" t="n"/>
      <ns0:c r="F75" s="73" t="n">
        <ns0:f>IF(C75="Approved",IF(OR(D75="",E75=""),"",ROUND(D75-E75,2)),0)</ns0:f>
        <ns0:v>0</ns0:v>
      </ns0:c>
      <ns0:c r="G75" s="68" t="n"/>
    </ns0:row>
    <ns0:row r="76" ht="32" customHeight="1" s="59">
      <ns0:c r="A76" s="68" t="n"/>
      <ns0:c r="B76" s="68" t="n"/>
      <ns0:c r="C76" s="68" t="n"/>
      <ns0:c r="D76" s="69" t="n"/>
      <ns0:c r="E76" s="69" t="n"/>
      <ns0:c r="F76" s="72" t="n">
        <ns0:f>IF(C76="Approved",IF(OR(D76="",E76=""),"",ROUND(D76-E76,2)),0)</ns0:f>
        <ns0:v>0</ns0:v>
      </ns0:c>
      <ns0:c r="G76" s="68" t="n"/>
    </ns0:row>
    <ns0:row r="77" ht="32" customHeight="1" s="59">
      <ns0:c r="A77" s="68" t="n"/>
      <ns0:c r="B77" s="68" t="n"/>
      <ns0:c r="C77" s="68" t="n"/>
      <ns0:c r="D77" s="69" t="n"/>
      <ns0:c r="E77" s="69" t="n"/>
      <ns0:c r="F77" s="73" t="n">
        <ns0:f>IF(C77="Approved",IF(OR(D77="",E77=""),"",ROUND(D77-E77,2)),0)</ns0:f>
        <ns0:v>0</ns0:v>
      </ns0:c>
      <ns0:c r="G77" s="68" t="n"/>
    </ns0:row>
    <ns0:row r="78" ht="32" customHeight="1" s="59">
      <ns0:c r="A78" s="68" t="n"/>
      <ns0:c r="B78" s="68" t="n"/>
      <ns0:c r="C78" s="68" t="n"/>
      <ns0:c r="D78" s="69" t="n"/>
      <ns0:c r="E78" s="69" t="n"/>
      <ns0:c r="F78" s="72" t="n">
        <ns0:f>IF(C78="Approved",IF(OR(D78="",E78=""),"",ROUND(D78-E78,2)),0)</ns0:f>
        <ns0:v>0</ns0:v>
      </ns0:c>
      <ns0:c r="G78" s="68" t="n"/>
    </ns0:row>
    <ns0:row r="79" ht="32" customHeight="1" s="59">
      <ns0:c r="A79" s="68" t="n"/>
      <ns0:c r="B79" s="68" t="n"/>
      <ns0:c r="C79" s="68" t="n"/>
      <ns0:c r="D79" s="69" t="n"/>
      <ns0:c r="E79" s="69" t="n"/>
      <ns0:c r="F79" s="73" t="n">
        <ns0:f>IF(C79="Approved",IF(OR(D79="",E79=""),"",ROUND(D79-E79,2)),0)</ns0:f>
        <ns0:v>0</ns0:v>
      </ns0:c>
      <ns0:c r="G79" s="68" t="n"/>
    </ns0:row>
    <ns0:row r="80" ht="32" customHeight="1" s="59">
      <ns0:c r="A80" s="68" t="n"/>
      <ns0:c r="B80" s="68" t="n"/>
      <ns0:c r="C80" s="68" t="n"/>
      <ns0:c r="D80" s="69" t="n"/>
      <ns0:c r="E80" s="69" t="n"/>
      <ns0:c r="F80" s="72" t="n">
        <ns0:f>IF(C80="Approved",IF(OR(D80="",E80=""),"",ROUND(D80-E80,2)),0)</ns0:f>
        <ns0:v>0</ns0:v>
      </ns0:c>
      <ns0:c r="G80" s="68" t="n"/>
    </ns0:row>
    <ns0:row r="81" ht="32" customHeight="1" s="59">
      <ns0:c r="A81" s="68" t="n"/>
      <ns0:c r="B81" s="68" t="n"/>
      <ns0:c r="C81" s="68" t="n"/>
      <ns0:c r="D81" s="69" t="n"/>
      <ns0:c r="E81" s="69" t="n"/>
      <ns0:c r="F81" s="73" t="n">
        <ns0:f>IF(C81="Approved",IF(OR(D81="",E81=""),"",ROUND(D81-E81,2)),0)</ns0:f>
        <ns0:v>0</ns0:v>
      </ns0:c>
      <ns0:c r="G81" s="68" t="n"/>
    </ns0:row>
    <ns0:row r="82" ht="32" customHeight="1" s="59">
      <ns0:c r="A82" s="68" t="n"/>
      <ns0:c r="B82" s="68" t="n"/>
      <ns0:c r="C82" s="68" t="n"/>
      <ns0:c r="D82" s="69" t="n"/>
      <ns0:c r="E82" s="69" t="n"/>
      <ns0:c r="F82" s="72" t="n">
        <ns0:f>IF(C82="Approved",IF(OR(D82="",E82=""),"",ROUND(D82-E82,2)),0)</ns0:f>
        <ns0:v>0</ns0:v>
      </ns0:c>
      <ns0:c r="G82" s="68" t="n"/>
    </ns0:row>
    <ns0:row r="83" ht="32" customHeight="1" s="59">
      <ns0:c r="A83" s="68" t="n"/>
      <ns0:c r="B83" s="68" t="n"/>
      <ns0:c r="C83" s="68" t="n"/>
      <ns0:c r="D83" s="69" t="n"/>
      <ns0:c r="E83" s="69" t="n"/>
      <ns0:c r="F83" s="73" t="n">
        <ns0:f>IF(C83="Approved",IF(OR(D83="",E83=""),"",ROUND(D83-E83,2)),0)</ns0:f>
        <ns0:v>0</ns0:v>
      </ns0:c>
      <ns0:c r="G83" s="68" t="n"/>
    </ns0:row>
    <ns0:row r="84" ht="32" customHeight="1" s="59">
      <ns0:c r="A84" s="68" t="n"/>
      <ns0:c r="B84" s="68" t="n"/>
      <ns0:c r="C84" s="68" t="n"/>
      <ns0:c r="D84" s="69" t="n"/>
      <ns0:c r="E84" s="69" t="n"/>
      <ns0:c r="F84" s="72" t="n">
        <ns0:f>IF(C84="Approved",IF(OR(D84="",E84=""),"",ROUND(D84-E84,2)),0)</ns0:f>
        <ns0:v>0</ns0:v>
      </ns0:c>
      <ns0:c r="G84" s="68" t="n"/>
    </ns0:row>
    <ns0:row r="85" ht="32" customHeight="1" s="59">
      <ns0:c r="A85" s="68" t="n"/>
      <ns0:c r="B85" s="68" t="n"/>
      <ns0:c r="C85" s="68" t="n"/>
      <ns0:c r="D85" s="69" t="n"/>
      <ns0:c r="E85" s="69" t="n"/>
      <ns0:c r="F85" s="73" t="n">
        <ns0:f>IF(C85="Approved",IF(OR(D85="",E85=""),"",ROUND(D85-E85,2)),0)</ns0:f>
        <ns0:v>0</ns0:v>
      </ns0:c>
      <ns0:c r="G85" s="68" t="n"/>
    </ns0:row>
    <ns0:row r="86" ht="32" customHeight="1" s="59">
      <ns0:c r="A86" s="68" t="n"/>
      <ns0:c r="B86" s="68" t="n"/>
      <ns0:c r="C86" s="68" t="n"/>
      <ns0:c r="D86" s="69" t="n"/>
      <ns0:c r="E86" s="69" t="n"/>
      <ns0:c r="F86" s="72" t="n">
        <ns0:f>IF(C86="Approved",IF(OR(D86="",E86=""),"",ROUND(D86-E86,2)),0)</ns0:f>
        <ns0:v>0</ns0:v>
      </ns0:c>
      <ns0:c r="G86" s="68" t="n"/>
    </ns0:row>
    <ns0:row r="87" ht="32" customHeight="1" s="59">
      <ns0:c r="A87" s="68" t="n"/>
      <ns0:c r="B87" s="68" t="n"/>
      <ns0:c r="C87" s="68" t="n"/>
      <ns0:c r="D87" s="69" t="n"/>
      <ns0:c r="E87" s="69" t="n"/>
      <ns0:c r="F87" s="73" t="n">
        <ns0:f>IF(C87="Approved",IF(OR(D87="",E87=""),"",ROUND(D87-E87,2)),0)</ns0:f>
        <ns0:v>0</ns0:v>
      </ns0:c>
      <ns0:c r="G87" s="68" t="n"/>
    </ns0:row>
    <ns0:row r="88" ht="32" customHeight="1" s="59">
      <ns0:c r="A88" s="68" t="n"/>
      <ns0:c r="B88" s="68" t="n"/>
      <ns0:c r="C88" s="68" t="n"/>
      <ns0:c r="D88" s="69" t="n"/>
      <ns0:c r="E88" s="69" t="n"/>
      <ns0:c r="F88" s="72" t="n">
        <ns0:f>IF(C88="Approved",IF(OR(D88="",E88=""),"",ROUND(D88-E88,2)),0)</ns0:f>
        <ns0:v>0</ns0:v>
      </ns0:c>
      <ns0:c r="G88" s="68" t="n"/>
    </ns0:row>
    <ns0:row r="89" ht="32" customHeight="1" s="59">
      <ns0:c r="A89" s="68" t="n"/>
      <ns0:c r="B89" s="68" t="n"/>
      <ns0:c r="C89" s="68" t="n"/>
      <ns0:c r="D89" s="69" t="n"/>
      <ns0:c r="E89" s="69" t="n"/>
      <ns0:c r="F89" s="73" t="n">
        <ns0:f>IF(C89="Approved",IF(OR(D89="",E89=""),"",ROUND(D89-E89,2)),0)</ns0:f>
        <ns0:v>0</ns0:v>
      </ns0:c>
      <ns0:c r="G89" s="68" t="n"/>
    </ns0:row>
    <ns0:row r="90" ht="32" customHeight="1" s="59">
      <ns0:c r="A90" s="68" t="n"/>
      <ns0:c r="B90" s="68" t="n"/>
      <ns0:c r="C90" s="68" t="n"/>
      <ns0:c r="D90" s="69" t="n"/>
      <ns0:c r="E90" s="69" t="n"/>
      <ns0:c r="F90" s="72" t="n">
        <ns0:f>IF(C90="Approved",IF(OR(D90="",E90=""),"",ROUND(D90-E90,2)),0)</ns0:f>
        <ns0:v>0</ns0:v>
      </ns0:c>
      <ns0:c r="G90" s="68" t="n"/>
    </ns0:row>
    <ns0:row r="91" ht="32" customHeight="1" s="59">
      <ns0:c r="A91" s="68" t="n"/>
      <ns0:c r="B91" s="68" t="n"/>
      <ns0:c r="C91" s="68" t="n"/>
      <ns0:c r="D91" s="69" t="n"/>
      <ns0:c r="E91" s="69" t="n"/>
      <ns0:c r="F91" s="73" t="n">
        <ns0:f>IF(C91="Approved",IF(OR(D91="",E91=""),"",ROUND(D91-E91,2)),0)</ns0:f>
        <ns0:v>0</ns0:v>
      </ns0:c>
      <ns0:c r="G91" s="68" t="n"/>
    </ns0:row>
    <ns0:row r="92" ht="32" customHeight="1" s="59">
      <ns0:c r="A92" s="68" t="n"/>
      <ns0:c r="B92" s="68" t="n"/>
      <ns0:c r="C92" s="68" t="n"/>
      <ns0:c r="D92" s="69" t="n"/>
      <ns0:c r="E92" s="69" t="n"/>
      <ns0:c r="F92" s="72" t="n">
        <ns0:f>IF(C92="Approved",IF(OR(D92="",E92=""),"",ROUND(D92-E92,2)),0)</ns0:f>
        <ns0:v>0</ns0:v>
      </ns0:c>
      <ns0:c r="G92" s="68" t="n"/>
    </ns0:row>
    <ns0:row r="93" ht="32" customHeight="1" s="59">
      <ns0:c r="A93" s="68" t="n"/>
      <ns0:c r="B93" s="68" t="n"/>
      <ns0:c r="C93" s="68" t="n"/>
      <ns0:c r="D93" s="69" t="n"/>
      <ns0:c r="E93" s="69" t="n"/>
      <ns0:c r="F93" s="73" t="n">
        <ns0:f>IF(C93="Approved",IF(OR(D93="",E93=""),"",ROUND(D93-E93,2)),0)</ns0:f>
        <ns0:v>0</ns0:v>
      </ns0:c>
      <ns0:c r="G93" s="68" t="n"/>
    </ns0:row>
    <ns0:row r="94" ht="32" customHeight="1" s="59">
      <ns0:c r="A94" s="68" t="n"/>
      <ns0:c r="B94" s="68" t="n"/>
      <ns0:c r="C94" s="68" t="n"/>
      <ns0:c r="D94" s="69" t="n"/>
      <ns0:c r="E94" s="69" t="n"/>
      <ns0:c r="F94" s="72" t="n">
        <ns0:f>IF(C94="Approved",IF(OR(D94="",E94=""),"",ROUND(D94-E94,2)),0)</ns0:f>
        <ns0:v>0</ns0:v>
      </ns0:c>
      <ns0:c r="G94" s="68" t="n"/>
    </ns0:row>
    <ns0:row r="95" ht="32" customHeight="1" s="59">
      <ns0:c r="A95" s="68" t="n"/>
      <ns0:c r="B95" s="68" t="n"/>
      <ns0:c r="C95" s="68" t="n"/>
      <ns0:c r="D95" s="69" t="n"/>
      <ns0:c r="E95" s="69" t="n"/>
      <ns0:c r="F95" s="73" t="n">
        <ns0:f>IF(C95="Approved",IF(OR(D95="",E95=""),"",ROUND(D95-E95,2)),0)</ns0:f>
        <ns0:v>0</ns0:v>
      </ns0:c>
      <ns0:c r="G95" s="68" t="n"/>
    </ns0:row>
    <ns0:row r="96" ht="32" customHeight="1" s="59">
      <ns0:c r="A96" s="68" t="n"/>
      <ns0:c r="B96" s="68" t="n"/>
      <ns0:c r="C96" s="68" t="n"/>
      <ns0:c r="D96" s="69" t="n"/>
      <ns0:c r="E96" s="69" t="n"/>
      <ns0:c r="F96" s="72" t="n">
        <ns0:f>IF(C96="Approved",IF(OR(D96="",E96=""),"",ROUND(D96-E96,2)),0)</ns0:f>
        <ns0:v>0</ns0:v>
      </ns0:c>
      <ns0:c r="G96" s="68" t="n"/>
    </ns0:row>
    <ns0:row r="97" ht="32" customHeight="1" s="59">
      <ns0:c r="A97" s="68" t="n"/>
      <ns0:c r="B97" s="68" t="n"/>
      <ns0:c r="C97" s="68" t="n"/>
      <ns0:c r="D97" s="69" t="n"/>
      <ns0:c r="E97" s="69" t="n"/>
      <ns0:c r="F97" s="73" t="n">
        <ns0:f>IF(C97="Approved",IF(OR(D97="",E97=""),"",ROUND(D97-E97,2)),0)</ns0:f>
        <ns0:v>0</ns0:v>
      </ns0:c>
      <ns0:c r="G97" s="68" t="n"/>
    </ns0:row>
    <ns0:row r="98" ht="32" customHeight="1" s="59">
      <ns0:c r="A98" s="68" t="n"/>
      <ns0:c r="B98" s="68" t="n"/>
      <ns0:c r="C98" s="68" t="n"/>
      <ns0:c r="D98" s="69" t="n"/>
      <ns0:c r="E98" s="69" t="n"/>
      <ns0:c r="F98" s="72" t="n">
        <ns0:f>IF(C98="Approved",IF(OR(D98="",E98=""),"",ROUND(D98-E98,2)),0)</ns0:f>
        <ns0:v>0</ns0:v>
      </ns0:c>
      <ns0:c r="G98" s="68" t="n"/>
    </ns0:row>
    <ns0:row r="99" ht="32" customHeight="1" s="59">
      <ns0:c r="A99" s="68" t="n"/>
      <ns0:c r="B99" s="68" t="n"/>
      <ns0:c r="C99" s="68" t="n"/>
      <ns0:c r="D99" s="69" t="n"/>
      <ns0:c r="E99" s="69" t="n"/>
      <ns0:c r="F99" s="73" t="n">
        <ns0:f>IF(C99="Approved",IF(OR(D99="",E99=""),"",ROUND(D99-E99,2)),0)</ns0:f>
        <ns0:v>0</ns0:v>
      </ns0:c>
      <ns0:c r="G99" s="68" t="n"/>
    </ns0:row>
    <ns0:row r="100" ht="32" customHeight="1" s="59">
      <ns0:c r="A100" s="68" t="n"/>
      <ns0:c r="B100" s="68" t="n"/>
      <ns0:c r="C100" s="68" t="n"/>
      <ns0:c r="D100" s="69" t="n"/>
      <ns0:c r="E100" s="69" t="n"/>
      <ns0:c r="F100" s="72" t="n">
        <ns0:f>IF(C100="Approved",IF(OR(D100="",E100=""),"",ROUND(D100-E100,2)),0)</ns0:f>
        <ns0:v>0</ns0:v>
      </ns0:c>
      <ns0:c r="G100" s="68" t="n"/>
    </ns0:row>
    <ns0:row r="101" ht="32" customHeight="1" s="59">
      <ns0:c r="A101" s="68" t="n"/>
      <ns0:c r="B101" s="68" t="n"/>
      <ns0:c r="C101" s="68" t="n"/>
      <ns0:c r="D101" s="69" t="n"/>
      <ns0:c r="E101" s="69" t="n"/>
      <ns0:c r="F101" s="73" t="n">
        <ns0:f>IF(C101="Approved",IF(OR(D101="",E101=""),"",ROUND(D101-E101,2)),0)</ns0:f>
        <ns0:v>0</ns0:v>
      </ns0:c>
      <ns0:c r="G101" s="68" t="n"/>
    </ns0:row>
    <ns0:row r="102" ht="32" customHeight="1" s="59">
      <ns0:c r="A102" s="68" t="n"/>
      <ns0:c r="B102" s="68" t="n"/>
      <ns0:c r="C102" s="68" t="n"/>
      <ns0:c r="D102" s="69" t="n"/>
      <ns0:c r="E102" s="69" t="n"/>
      <ns0:c r="F102" s="72" t="n">
        <ns0:f>IF(C102="Approved",IF(OR(D102="",E102=""),"",ROUND(D102-E102,2)),0)</ns0:f>
        <ns0:v>0</ns0:v>
      </ns0:c>
      <ns0:c r="G102" s="68" t="n"/>
    </ns0:row>
    <ns0:row r="103" ht="32" customHeight="1" s="59">
      <ns0:c r="A103" s="68" t="n"/>
      <ns0:c r="B103" s="68" t="n"/>
      <ns0:c r="C103" s="68" t="n"/>
      <ns0:c r="D103" s="69" t="n"/>
      <ns0:c r="E103" s="69" t="n"/>
      <ns0:c r="F103" s="73" t="n">
        <ns0:f>IF(C103="Approved",IF(OR(D103="",E103=""),"",ROUND(D103-E103,2)),0)</ns0:f>
        <ns0:v>0</ns0:v>
      </ns0:c>
      <ns0:c r="G103" s="68" t="n"/>
    </ns0:row>
  </ns0:sheetData>
  <ns0:sheetProtection selectLockedCells="0" selectUnlockedCells="0" sheet="1" objects="0" insertRows="1" insertHyperlinks="1" autoFilter="0" scenarios="0" formatColumns="1" deleteColumns="1" insertColumns="1" pivotTables="1" deleteRows="1" formatCells="1" formatRows="1" sort="1"/>
  <ns0:autoFilter ref="A3:G103"/>
  <ns0:mergeCells count="1">
    <ns0:mergeCell ref="A1:G1"/>
  </ns0:mergeCells>
  <ns0:dataValidations count="2">
    <ns0:dataValidation sqref="D4:E103" showDropDown="0" showInputMessage="1" showErrorMessage="1" allowBlank="1" errorTitle="Check this entry" error="Use the allowed value. Read the column notes." promptTitle="Input cell" prompt="Enter numbers without currency symbols. Clear unused rows." type="decimal" errorStyle="stop" operator="between">
      <ns0:formula1>-1000000000</ns0:formula1>
      <ns0:formula2>1000000000</ns0:formula2>
    </ns0:dataValidation>
    <ns0:dataValidation sqref="C4:C103" showDropDown="0" showInputMessage="1" showErrorMessage="1" allowBlank="1" errorTitle="Check this entry" error="Use the allowed value. Read the column notes." promptTitle="Input cell" prompt="Enter numbers without currency symbols. Clear unused rows." type="list" errorStyle="stop" operator="between">
      <ns0:formula1>"Pending,Approved,Rejected"</ns0:formula1>
    </ns0:dataValidation>
  </ns0:dataValidations>
  <ns0:printOptions horizontalCentered="1"/>
  <ns0:pageMargins left="0.7" right="0.7" top="0.75" bottom="0.75" header="0.3" footer="0.3"/>
  <ns0:pageSetup orientation="landscape" paperSize="1" fitToHeight="0" fitToWidth="1"/>
</ns0:worksheet>
</file>

<file path=xl/worksheets/sheet6.xml><?xml version="1.0" encoding="utf-8"?>
<ns0:worksheet xmlns:ns0="http://schemas.openxmlformats.org/spreadsheetml/2006/main">
  <ns0:sheetPr>
    <ns0:tabColor rgb="0016324F"/>
    <ns0:outlinePr summaryBelow="1" summaryRight="1"/>
    <ns0:pageSetUpPr fitToPage="1"/>
  </ns0:sheetPr>
  <ns0:dimension ref="A1:E103"/>
  <ns0:sheetViews>
    <ns0:sheetView showGridLines="0" workbookViewId="0">
      <ns0:pane xSplit="2" ySplit="3" topLeftCell="C4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9" customWidth="1" style="59" min="1" max="1"/>
    <ns0:col width="30" customWidth="1" style="59" min="2" max="2"/>
    <ns0:col width="22" customWidth="1" style="59" min="3" max="3"/>
    <ns0:col width="22" customWidth="1" style="59" min="4" max="4"/>
    <ns0:col width="45" customWidth="1" style="59" min="5" max="5"/>
    <ns0:col width="22" customWidth="1" style="59" min="6" max="6"/>
    <ns0:col width="22" customWidth="1" style="59" min="7" max="7"/>
    <ns0:col width="22" customWidth="1" style="59" min="8" max="8"/>
  </ns0:cols>
  <ns0:sheetData>
    <ns0:row r="1" ht="34" customHeight="1" s="59">
      <ns0:c r="A1" s="63" t="inlineStr">
        <ns0:is>
          <ns0:t>PAYMENTS RECEIVED  |  CASH ACTUALLY COLLECTED</ns0:t>
        </ns0:is>
      </ns0:c>
      <ns0:c r="B1" s="1" t="n"/>
      <ns0:c r="C1" s="1" t="n"/>
      <ns0:c r="D1" s="1" t="n"/>
      <ns0:c r="E1" s="1" t="n"/>
    </ns0:row>
    <ns0:row r="2">
      <ns0:c r="A2" s="64" t="n"/>
      <ns0:c r="B2" s="64" t="n"/>
      <ns0:c r="C2" s="64" t="n"/>
      <ns0:c r="D2" s="64" t="n"/>
      <ns0:c r="E2" s="64" t="n"/>
    </ns0:row>
    <ns0:row r="3" ht="32" customHeight="1" s="59">
      <ns0:c r="A3" s="65" t="inlineStr">
        <ns0:is>
          <ns0:t>DATE</ns0:t>
        </ns0:is>
      </ns0:c>
      <ns0:c r="B3" s="65" t="inlineStr">
        <ns0:is>
          <ns0:t>PAYMENT REFERENCE</ns0:t>
        </ns0:is>
      </ns0:c>
      <ns0:c r="C3" s="65" t="inlineStr">
        <ns0:is>
          <ns0:t>AMOUNT RECEIVED ($)</ns0:t>
        </ns0:is>
      </ns0:c>
      <ns0:c r="D3" s="65" t="inlineStr">
        <ns0:is>
          <ns0:t>PAYMENT METHOD</ns0:t>
        </ns0:is>
      </ns0:c>
      <ns0:c r="E3" s="65" t="inlineStr">
        <ns0:is>
          <ns0:t>NOTES</ns0:t>
        </ns0:is>
      </ns0:c>
    </ns0:row>
    <ns0:row r="4" ht="32" customHeight="1" s="59">
      <ns0:c r="A4" s="74" t="n"/>
      <ns0:c r="B4" s="68" t="n"/>
      <ns0:c r="C4" s="69" t="n"/>
      <ns0:c r="D4" s="68" t="n"/>
      <ns0:c r="E4" s="68" t="n"/>
    </ns0:row>
    <ns0:row r="5" ht="32" customHeight="1" s="59">
      <ns0:c r="A5" s="74" t="n"/>
      <ns0:c r="B5" s="68" t="n"/>
      <ns0:c r="C5" s="69" t="n"/>
      <ns0:c r="D5" s="68" t="n"/>
      <ns0:c r="E5" s="68" t="n"/>
    </ns0:row>
    <ns0:row r="6" ht="32" customHeight="1" s="59">
      <ns0:c r="A6" s="74" t="n"/>
      <ns0:c r="B6" s="68" t="n"/>
      <ns0:c r="C6" s="69" t="n"/>
      <ns0:c r="D6" s="68" t="n"/>
      <ns0:c r="E6" s="68" t="n"/>
    </ns0:row>
    <ns0:row r="7" ht="32" customHeight="1" s="59">
      <ns0:c r="A7" s="74" t="n"/>
      <ns0:c r="B7" s="68" t="n"/>
      <ns0:c r="C7" s="69" t="n"/>
      <ns0:c r="D7" s="68" t="n"/>
      <ns0:c r="E7" s="68" t="n"/>
    </ns0:row>
    <ns0:row r="8" ht="32" customHeight="1" s="59">
      <ns0:c r="A8" s="74" t="n"/>
      <ns0:c r="B8" s="68" t="n"/>
      <ns0:c r="C8" s="69" t="n"/>
      <ns0:c r="D8" s="68" t="n"/>
      <ns0:c r="E8" s="68" t="n"/>
    </ns0:row>
    <ns0:row r="9" ht="32" customHeight="1" s="59">
      <ns0:c r="A9" s="74" t="n"/>
      <ns0:c r="B9" s="68" t="n"/>
      <ns0:c r="C9" s="69" t="n"/>
      <ns0:c r="D9" s="68" t="n"/>
      <ns0:c r="E9" s="68" t="n"/>
    </ns0:row>
    <ns0:row r="10" ht="32" customHeight="1" s="59">
      <ns0:c r="A10" s="74" t="n"/>
      <ns0:c r="B10" s="68" t="n"/>
      <ns0:c r="C10" s="69" t="n"/>
      <ns0:c r="D10" s="68" t="n"/>
      <ns0:c r="E10" s="68" t="n"/>
    </ns0:row>
    <ns0:row r="11" ht="32" customHeight="1" s="59">
      <ns0:c r="A11" s="74" t="n"/>
      <ns0:c r="B11" s="68" t="n"/>
      <ns0:c r="C11" s="69" t="n"/>
      <ns0:c r="D11" s="68" t="n"/>
      <ns0:c r="E11" s="68" t="n"/>
    </ns0:row>
    <ns0:row r="12" ht="32" customHeight="1" s="59">
      <ns0:c r="A12" s="74" t="n"/>
      <ns0:c r="B12" s="68" t="n"/>
      <ns0:c r="C12" s="69" t="n"/>
      <ns0:c r="D12" s="68" t="n"/>
      <ns0:c r="E12" s="68" t="n"/>
    </ns0:row>
    <ns0:row r="13" ht="32" customHeight="1" s="59">
      <ns0:c r="A13" s="74" t="n"/>
      <ns0:c r="B13" s="68" t="n"/>
      <ns0:c r="C13" s="69" t="n"/>
      <ns0:c r="D13" s="68" t="n"/>
      <ns0:c r="E13" s="68" t="n"/>
    </ns0:row>
    <ns0:row r="14" ht="32" customHeight="1" s="59">
      <ns0:c r="A14" s="74" t="n"/>
      <ns0:c r="B14" s="68" t="n"/>
      <ns0:c r="C14" s="69" t="n"/>
      <ns0:c r="D14" s="68" t="n"/>
      <ns0:c r="E14" s="68" t="n"/>
    </ns0:row>
    <ns0:row r="15" ht="32" customHeight="1" s="59">
      <ns0:c r="A15" s="74" t="n"/>
      <ns0:c r="B15" s="68" t="n"/>
      <ns0:c r="C15" s="69" t="n"/>
      <ns0:c r="D15" s="68" t="n"/>
      <ns0:c r="E15" s="68" t="n"/>
    </ns0:row>
    <ns0:row r="16" ht="32" customHeight="1" s="59">
      <ns0:c r="A16" s="74" t="n"/>
      <ns0:c r="B16" s="68" t="n"/>
      <ns0:c r="C16" s="69" t="n"/>
      <ns0:c r="D16" s="68" t="n"/>
      <ns0:c r="E16" s="68" t="n"/>
    </ns0:row>
    <ns0:row r="17" ht="32" customHeight="1" s="59">
      <ns0:c r="A17" s="74" t="n"/>
      <ns0:c r="B17" s="68" t="n"/>
      <ns0:c r="C17" s="69" t="n"/>
      <ns0:c r="D17" s="68" t="n"/>
      <ns0:c r="E17" s="68" t="n"/>
    </ns0:row>
    <ns0:row r="18" ht="32" customHeight="1" s="59">
      <ns0:c r="A18" s="74" t="n"/>
      <ns0:c r="B18" s="68" t="n"/>
      <ns0:c r="C18" s="69" t="n"/>
      <ns0:c r="D18" s="68" t="n"/>
      <ns0:c r="E18" s="68" t="n"/>
    </ns0:row>
    <ns0:row r="19" ht="32" customHeight="1" s="59">
      <ns0:c r="A19" s="74" t="n"/>
      <ns0:c r="B19" s="68" t="n"/>
      <ns0:c r="C19" s="69" t="n"/>
      <ns0:c r="D19" s="68" t="n"/>
      <ns0:c r="E19" s="68" t="n"/>
    </ns0:row>
    <ns0:row r="20" ht="32" customHeight="1" s="59">
      <ns0:c r="A20" s="74" t="n"/>
      <ns0:c r="B20" s="68" t="n"/>
      <ns0:c r="C20" s="69" t="n"/>
      <ns0:c r="D20" s="68" t="n"/>
      <ns0:c r="E20" s="68" t="n"/>
    </ns0:row>
    <ns0:row r="21" ht="32" customHeight="1" s="59">
      <ns0:c r="A21" s="74" t="n"/>
      <ns0:c r="B21" s="68" t="n"/>
      <ns0:c r="C21" s="69" t="n"/>
      <ns0:c r="D21" s="68" t="n"/>
      <ns0:c r="E21" s="68" t="n"/>
    </ns0:row>
    <ns0:row r="22" ht="32" customHeight="1" s="59">
      <ns0:c r="A22" s="74" t="n"/>
      <ns0:c r="B22" s="68" t="n"/>
      <ns0:c r="C22" s="69" t="n"/>
      <ns0:c r="D22" s="68" t="n"/>
      <ns0:c r="E22" s="68" t="n"/>
    </ns0:row>
    <ns0:row r="23" ht="32" customHeight="1" s="59">
      <ns0:c r="A23" s="74" t="n"/>
      <ns0:c r="B23" s="68" t="n"/>
      <ns0:c r="C23" s="69" t="n"/>
      <ns0:c r="D23" s="68" t="n"/>
      <ns0:c r="E23" s="68" t="n"/>
    </ns0:row>
    <ns0:row r="24" ht="32" customHeight="1" s="59">
      <ns0:c r="A24" s="74" t="n"/>
      <ns0:c r="B24" s="68" t="n"/>
      <ns0:c r="C24" s="69" t="n"/>
      <ns0:c r="D24" s="68" t="n"/>
      <ns0:c r="E24" s="68" t="n"/>
    </ns0:row>
    <ns0:row r="25" ht="32" customHeight="1" s="59">
      <ns0:c r="A25" s="74" t="n"/>
      <ns0:c r="B25" s="68" t="n"/>
      <ns0:c r="C25" s="69" t="n"/>
      <ns0:c r="D25" s="68" t="n"/>
      <ns0:c r="E25" s="68" t="n"/>
    </ns0:row>
    <ns0:row r="26" ht="32" customHeight="1" s="59">
      <ns0:c r="A26" s="74" t="n"/>
      <ns0:c r="B26" s="68" t="n"/>
      <ns0:c r="C26" s="69" t="n"/>
      <ns0:c r="D26" s="68" t="n"/>
      <ns0:c r="E26" s="68" t="n"/>
    </ns0:row>
    <ns0:row r="27" ht="32" customHeight="1" s="59">
      <ns0:c r="A27" s="74" t="n"/>
      <ns0:c r="B27" s="68" t="n"/>
      <ns0:c r="C27" s="69" t="n"/>
      <ns0:c r="D27" s="68" t="n"/>
      <ns0:c r="E27" s="68" t="n"/>
    </ns0:row>
    <ns0:row r="28" ht="32" customHeight="1" s="59">
      <ns0:c r="A28" s="74" t="n"/>
      <ns0:c r="B28" s="68" t="n"/>
      <ns0:c r="C28" s="69" t="n"/>
      <ns0:c r="D28" s="68" t="n"/>
      <ns0:c r="E28" s="68" t="n"/>
    </ns0:row>
    <ns0:row r="29" ht="32" customHeight="1" s="59">
      <ns0:c r="A29" s="74" t="n"/>
      <ns0:c r="B29" s="68" t="n"/>
      <ns0:c r="C29" s="69" t="n"/>
      <ns0:c r="D29" s="68" t="n"/>
      <ns0:c r="E29" s="68" t="n"/>
    </ns0:row>
    <ns0:row r="30" ht="32" customHeight="1" s="59">
      <ns0:c r="A30" s="74" t="n"/>
      <ns0:c r="B30" s="68" t="n"/>
      <ns0:c r="C30" s="69" t="n"/>
      <ns0:c r="D30" s="68" t="n"/>
      <ns0:c r="E30" s="68" t="n"/>
    </ns0:row>
    <ns0:row r="31" ht="32" customHeight="1" s="59">
      <ns0:c r="A31" s="74" t="n"/>
      <ns0:c r="B31" s="68" t="n"/>
      <ns0:c r="C31" s="69" t="n"/>
      <ns0:c r="D31" s="68" t="n"/>
      <ns0:c r="E31" s="68" t="n"/>
    </ns0:row>
    <ns0:row r="32" ht="32" customHeight="1" s="59">
      <ns0:c r="A32" s="74" t="n"/>
      <ns0:c r="B32" s="68" t="n"/>
      <ns0:c r="C32" s="69" t="n"/>
      <ns0:c r="D32" s="68" t="n"/>
      <ns0:c r="E32" s="68" t="n"/>
    </ns0:row>
    <ns0:row r="33" ht="32" customHeight="1" s="59">
      <ns0:c r="A33" s="74" t="n"/>
      <ns0:c r="B33" s="68" t="n"/>
      <ns0:c r="C33" s="69" t="n"/>
      <ns0:c r="D33" s="68" t="n"/>
      <ns0:c r="E33" s="68" t="n"/>
    </ns0:row>
    <ns0:row r="34" ht="32" customHeight="1" s="59">
      <ns0:c r="A34" s="74" t="n"/>
      <ns0:c r="B34" s="68" t="n"/>
      <ns0:c r="C34" s="69" t="n"/>
      <ns0:c r="D34" s="68" t="n"/>
      <ns0:c r="E34" s="68" t="n"/>
    </ns0:row>
    <ns0:row r="35" ht="32" customHeight="1" s="59">
      <ns0:c r="A35" s="74" t="n"/>
      <ns0:c r="B35" s="68" t="n"/>
      <ns0:c r="C35" s="69" t="n"/>
      <ns0:c r="D35" s="68" t="n"/>
      <ns0:c r="E35" s="68" t="n"/>
    </ns0:row>
    <ns0:row r="36" ht="32" customHeight="1" s="59">
      <ns0:c r="A36" s="74" t="n"/>
      <ns0:c r="B36" s="68" t="n"/>
      <ns0:c r="C36" s="69" t="n"/>
      <ns0:c r="D36" s="68" t="n"/>
      <ns0:c r="E36" s="68" t="n"/>
    </ns0:row>
    <ns0:row r="37" ht="32" customHeight="1" s="59">
      <ns0:c r="A37" s="74" t="n"/>
      <ns0:c r="B37" s="68" t="n"/>
      <ns0:c r="C37" s="69" t="n"/>
      <ns0:c r="D37" s="68" t="n"/>
      <ns0:c r="E37" s="68" t="n"/>
    </ns0:row>
    <ns0:row r="38" ht="32" customHeight="1" s="59">
      <ns0:c r="A38" s="74" t="n"/>
      <ns0:c r="B38" s="68" t="n"/>
      <ns0:c r="C38" s="69" t="n"/>
      <ns0:c r="D38" s="68" t="n"/>
      <ns0:c r="E38" s="68" t="n"/>
    </ns0:row>
    <ns0:row r="39" ht="32" customHeight="1" s="59">
      <ns0:c r="A39" s="74" t="n"/>
      <ns0:c r="B39" s="68" t="n"/>
      <ns0:c r="C39" s="69" t="n"/>
      <ns0:c r="D39" s="68" t="n"/>
      <ns0:c r="E39" s="68" t="n"/>
    </ns0:row>
    <ns0:row r="40" ht="32" customHeight="1" s="59">
      <ns0:c r="A40" s="74" t="n"/>
      <ns0:c r="B40" s="68" t="n"/>
      <ns0:c r="C40" s="69" t="n"/>
      <ns0:c r="D40" s="68" t="n"/>
      <ns0:c r="E40" s="68" t="n"/>
    </ns0:row>
    <ns0:row r="41" ht="32" customHeight="1" s="59">
      <ns0:c r="A41" s="74" t="n"/>
      <ns0:c r="B41" s="68" t="n"/>
      <ns0:c r="C41" s="69" t="n"/>
      <ns0:c r="D41" s="68" t="n"/>
      <ns0:c r="E41" s="68" t="n"/>
    </ns0:row>
    <ns0:row r="42" ht="32" customHeight="1" s="59">
      <ns0:c r="A42" s="74" t="n"/>
      <ns0:c r="B42" s="68" t="n"/>
      <ns0:c r="C42" s="69" t="n"/>
      <ns0:c r="D42" s="68" t="n"/>
      <ns0:c r="E42" s="68" t="n"/>
    </ns0:row>
    <ns0:row r="43" ht="32" customHeight="1" s="59">
      <ns0:c r="A43" s="74" t="n"/>
      <ns0:c r="B43" s="68" t="n"/>
      <ns0:c r="C43" s="69" t="n"/>
      <ns0:c r="D43" s="68" t="n"/>
      <ns0:c r="E43" s="68" t="n"/>
    </ns0:row>
    <ns0:row r="44" ht="32" customHeight="1" s="59">
      <ns0:c r="A44" s="74" t="n"/>
      <ns0:c r="B44" s="68" t="n"/>
      <ns0:c r="C44" s="69" t="n"/>
      <ns0:c r="D44" s="68" t="n"/>
      <ns0:c r="E44" s="68" t="n"/>
    </ns0:row>
    <ns0:row r="45" ht="32" customHeight="1" s="59">
      <ns0:c r="A45" s="74" t="n"/>
      <ns0:c r="B45" s="68" t="n"/>
      <ns0:c r="C45" s="69" t="n"/>
      <ns0:c r="D45" s="68" t="n"/>
      <ns0:c r="E45" s="68" t="n"/>
    </ns0:row>
    <ns0:row r="46" ht="32" customHeight="1" s="59">
      <ns0:c r="A46" s="74" t="n"/>
      <ns0:c r="B46" s="68" t="n"/>
      <ns0:c r="C46" s="69" t="n"/>
      <ns0:c r="D46" s="68" t="n"/>
      <ns0:c r="E46" s="68" t="n"/>
    </ns0:row>
    <ns0:row r="47" ht="32" customHeight="1" s="59">
      <ns0:c r="A47" s="74" t="n"/>
      <ns0:c r="B47" s="68" t="n"/>
      <ns0:c r="C47" s="69" t="n"/>
      <ns0:c r="D47" s="68" t="n"/>
      <ns0:c r="E47" s="68" t="n"/>
    </ns0:row>
    <ns0:row r="48" ht="32" customHeight="1" s="59">
      <ns0:c r="A48" s="74" t="n"/>
      <ns0:c r="B48" s="68" t="n"/>
      <ns0:c r="C48" s="69" t="n"/>
      <ns0:c r="D48" s="68" t="n"/>
      <ns0:c r="E48" s="68" t="n"/>
    </ns0:row>
    <ns0:row r="49" ht="32" customHeight="1" s="59">
      <ns0:c r="A49" s="74" t="n"/>
      <ns0:c r="B49" s="68" t="n"/>
      <ns0:c r="C49" s="69" t="n"/>
      <ns0:c r="D49" s="68" t="n"/>
      <ns0:c r="E49" s="68" t="n"/>
    </ns0:row>
    <ns0:row r="50" ht="32" customHeight="1" s="59">
      <ns0:c r="A50" s="74" t="n"/>
      <ns0:c r="B50" s="68" t="n"/>
      <ns0:c r="C50" s="69" t="n"/>
      <ns0:c r="D50" s="68" t="n"/>
      <ns0:c r="E50" s="68" t="n"/>
    </ns0:row>
    <ns0:row r="51" ht="32" customHeight="1" s="59">
      <ns0:c r="A51" s="74" t="n"/>
      <ns0:c r="B51" s="68" t="n"/>
      <ns0:c r="C51" s="69" t="n"/>
      <ns0:c r="D51" s="68" t="n"/>
      <ns0:c r="E51" s="68" t="n"/>
    </ns0:row>
    <ns0:row r="52" ht="32" customHeight="1" s="59">
      <ns0:c r="A52" s="74" t="n"/>
      <ns0:c r="B52" s="68" t="n"/>
      <ns0:c r="C52" s="69" t="n"/>
      <ns0:c r="D52" s="68" t="n"/>
      <ns0:c r="E52" s="68" t="n"/>
    </ns0:row>
    <ns0:row r="53" ht="32" customHeight="1" s="59">
      <ns0:c r="A53" s="74" t="n"/>
      <ns0:c r="B53" s="68" t="n"/>
      <ns0:c r="C53" s="69" t="n"/>
      <ns0:c r="D53" s="68" t="n"/>
      <ns0:c r="E53" s="68" t="n"/>
    </ns0:row>
    <ns0:row r="54" ht="32" customHeight="1" s="59">
      <ns0:c r="A54" s="74" t="n"/>
      <ns0:c r="B54" s="68" t="n"/>
      <ns0:c r="C54" s="69" t="n"/>
      <ns0:c r="D54" s="68" t="n"/>
      <ns0:c r="E54" s="68" t="n"/>
    </ns0:row>
    <ns0:row r="55" ht="32" customHeight="1" s="59">
      <ns0:c r="A55" s="74" t="n"/>
      <ns0:c r="B55" s="68" t="n"/>
      <ns0:c r="C55" s="69" t="n"/>
      <ns0:c r="D55" s="68" t="n"/>
      <ns0:c r="E55" s="68" t="n"/>
    </ns0:row>
    <ns0:row r="56" ht="32" customHeight="1" s="59">
      <ns0:c r="A56" s="74" t="n"/>
      <ns0:c r="B56" s="68" t="n"/>
      <ns0:c r="C56" s="69" t="n"/>
      <ns0:c r="D56" s="68" t="n"/>
      <ns0:c r="E56" s="68" t="n"/>
    </ns0:row>
    <ns0:row r="57" ht="32" customHeight="1" s="59">
      <ns0:c r="A57" s="74" t="n"/>
      <ns0:c r="B57" s="68" t="n"/>
      <ns0:c r="C57" s="69" t="n"/>
      <ns0:c r="D57" s="68" t="n"/>
      <ns0:c r="E57" s="68" t="n"/>
    </ns0:row>
    <ns0:row r="58" ht="32" customHeight="1" s="59">
      <ns0:c r="A58" s="74" t="n"/>
      <ns0:c r="B58" s="68" t="n"/>
      <ns0:c r="C58" s="69" t="n"/>
      <ns0:c r="D58" s="68" t="n"/>
      <ns0:c r="E58" s="68" t="n"/>
    </ns0:row>
    <ns0:row r="59" ht="32" customHeight="1" s="59">
      <ns0:c r="A59" s="74" t="n"/>
      <ns0:c r="B59" s="68" t="n"/>
      <ns0:c r="C59" s="69" t="n"/>
      <ns0:c r="D59" s="68" t="n"/>
      <ns0:c r="E59" s="68" t="n"/>
    </ns0:row>
    <ns0:row r="60" ht="32" customHeight="1" s="59">
      <ns0:c r="A60" s="74" t="n"/>
      <ns0:c r="B60" s="68" t="n"/>
      <ns0:c r="C60" s="69" t="n"/>
      <ns0:c r="D60" s="68" t="n"/>
      <ns0:c r="E60" s="68" t="n"/>
    </ns0:row>
    <ns0:row r="61" ht="32" customHeight="1" s="59">
      <ns0:c r="A61" s="74" t="n"/>
      <ns0:c r="B61" s="68" t="n"/>
      <ns0:c r="C61" s="69" t="n"/>
      <ns0:c r="D61" s="68" t="n"/>
      <ns0:c r="E61" s="68" t="n"/>
    </ns0:row>
    <ns0:row r="62" ht="32" customHeight="1" s="59">
      <ns0:c r="A62" s="74" t="n"/>
      <ns0:c r="B62" s="68" t="n"/>
      <ns0:c r="C62" s="69" t="n"/>
      <ns0:c r="D62" s="68" t="n"/>
      <ns0:c r="E62" s="68" t="n"/>
    </ns0:row>
    <ns0:row r="63" ht="32" customHeight="1" s="59">
      <ns0:c r="A63" s="74" t="n"/>
      <ns0:c r="B63" s="68" t="n"/>
      <ns0:c r="C63" s="69" t="n"/>
      <ns0:c r="D63" s="68" t="n"/>
      <ns0:c r="E63" s="68" t="n"/>
    </ns0:row>
    <ns0:row r="64" ht="32" customHeight="1" s="59">
      <ns0:c r="A64" s="74" t="n"/>
      <ns0:c r="B64" s="68" t="n"/>
      <ns0:c r="C64" s="69" t="n"/>
      <ns0:c r="D64" s="68" t="n"/>
      <ns0:c r="E64" s="68" t="n"/>
    </ns0:row>
    <ns0:row r="65" ht="32" customHeight="1" s="59">
      <ns0:c r="A65" s="74" t="n"/>
      <ns0:c r="B65" s="68" t="n"/>
      <ns0:c r="C65" s="69" t="n"/>
      <ns0:c r="D65" s="68" t="n"/>
      <ns0:c r="E65" s="68" t="n"/>
    </ns0:row>
    <ns0:row r="66" ht="32" customHeight="1" s="59">
      <ns0:c r="A66" s="74" t="n"/>
      <ns0:c r="B66" s="68" t="n"/>
      <ns0:c r="C66" s="69" t="n"/>
      <ns0:c r="D66" s="68" t="n"/>
      <ns0:c r="E66" s="68" t="n"/>
    </ns0:row>
    <ns0:row r="67" ht="32" customHeight="1" s="59">
      <ns0:c r="A67" s="74" t="n"/>
      <ns0:c r="B67" s="68" t="n"/>
      <ns0:c r="C67" s="69" t="n"/>
      <ns0:c r="D67" s="68" t="n"/>
      <ns0:c r="E67" s="68" t="n"/>
    </ns0:row>
    <ns0:row r="68" ht="32" customHeight="1" s="59">
      <ns0:c r="A68" s="74" t="n"/>
      <ns0:c r="B68" s="68" t="n"/>
      <ns0:c r="C68" s="69" t="n"/>
      <ns0:c r="D68" s="68" t="n"/>
      <ns0:c r="E68" s="68" t="n"/>
    </ns0:row>
    <ns0:row r="69" ht="32" customHeight="1" s="59">
      <ns0:c r="A69" s="74" t="n"/>
      <ns0:c r="B69" s="68" t="n"/>
      <ns0:c r="C69" s="69" t="n"/>
      <ns0:c r="D69" s="68" t="n"/>
      <ns0:c r="E69" s="68" t="n"/>
    </ns0:row>
    <ns0:row r="70" ht="32" customHeight="1" s="59">
      <ns0:c r="A70" s="74" t="n"/>
      <ns0:c r="B70" s="68" t="n"/>
      <ns0:c r="C70" s="69" t="n"/>
      <ns0:c r="D70" s="68" t="n"/>
      <ns0:c r="E70" s="68" t="n"/>
    </ns0:row>
    <ns0:row r="71" ht="32" customHeight="1" s="59">
      <ns0:c r="A71" s="74" t="n"/>
      <ns0:c r="B71" s="68" t="n"/>
      <ns0:c r="C71" s="69" t="n"/>
      <ns0:c r="D71" s="68" t="n"/>
      <ns0:c r="E71" s="68" t="n"/>
    </ns0:row>
    <ns0:row r="72" ht="32" customHeight="1" s="59">
      <ns0:c r="A72" s="74" t="n"/>
      <ns0:c r="B72" s="68" t="n"/>
      <ns0:c r="C72" s="69" t="n"/>
      <ns0:c r="D72" s="68" t="n"/>
      <ns0:c r="E72" s="68" t="n"/>
    </ns0:row>
    <ns0:row r="73" ht="32" customHeight="1" s="59">
      <ns0:c r="A73" s="74" t="n"/>
      <ns0:c r="B73" s="68" t="n"/>
      <ns0:c r="C73" s="69" t="n"/>
      <ns0:c r="D73" s="68" t="n"/>
      <ns0:c r="E73" s="68" t="n"/>
    </ns0:row>
    <ns0:row r="74" ht="32" customHeight="1" s="59">
      <ns0:c r="A74" s="74" t="n"/>
      <ns0:c r="B74" s="68" t="n"/>
      <ns0:c r="C74" s="69" t="n"/>
      <ns0:c r="D74" s="68" t="n"/>
      <ns0:c r="E74" s="68" t="n"/>
    </ns0:row>
    <ns0:row r="75" ht="32" customHeight="1" s="59">
      <ns0:c r="A75" s="74" t="n"/>
      <ns0:c r="B75" s="68" t="n"/>
      <ns0:c r="C75" s="69" t="n"/>
      <ns0:c r="D75" s="68" t="n"/>
      <ns0:c r="E75" s="68" t="n"/>
    </ns0:row>
    <ns0:row r="76" ht="32" customHeight="1" s="59">
      <ns0:c r="A76" s="74" t="n"/>
      <ns0:c r="B76" s="68" t="n"/>
      <ns0:c r="C76" s="69" t="n"/>
      <ns0:c r="D76" s="68" t="n"/>
      <ns0:c r="E76" s="68" t="n"/>
    </ns0:row>
    <ns0:row r="77" ht="32" customHeight="1" s="59">
      <ns0:c r="A77" s="74" t="n"/>
      <ns0:c r="B77" s="68" t="n"/>
      <ns0:c r="C77" s="69" t="n"/>
      <ns0:c r="D77" s="68" t="n"/>
      <ns0:c r="E77" s="68" t="n"/>
    </ns0:row>
    <ns0:row r="78" ht="32" customHeight="1" s="59">
      <ns0:c r="A78" s="74" t="n"/>
      <ns0:c r="B78" s="68" t="n"/>
      <ns0:c r="C78" s="69" t="n"/>
      <ns0:c r="D78" s="68" t="n"/>
      <ns0:c r="E78" s="68" t="n"/>
    </ns0:row>
    <ns0:row r="79" ht="32" customHeight="1" s="59">
      <ns0:c r="A79" s="74" t="n"/>
      <ns0:c r="B79" s="68" t="n"/>
      <ns0:c r="C79" s="69" t="n"/>
      <ns0:c r="D79" s="68" t="n"/>
      <ns0:c r="E79" s="68" t="n"/>
    </ns0:row>
    <ns0:row r="80" ht="32" customHeight="1" s="59">
      <ns0:c r="A80" s="74" t="n"/>
      <ns0:c r="B80" s="68" t="n"/>
      <ns0:c r="C80" s="69" t="n"/>
      <ns0:c r="D80" s="68" t="n"/>
      <ns0:c r="E80" s="68" t="n"/>
    </ns0:row>
    <ns0:row r="81" ht="32" customHeight="1" s="59">
      <ns0:c r="A81" s="74" t="n"/>
      <ns0:c r="B81" s="68" t="n"/>
      <ns0:c r="C81" s="69" t="n"/>
      <ns0:c r="D81" s="68" t="n"/>
      <ns0:c r="E81" s="68" t="n"/>
    </ns0:row>
    <ns0:row r="82" ht="32" customHeight="1" s="59">
      <ns0:c r="A82" s="74" t="n"/>
      <ns0:c r="B82" s="68" t="n"/>
      <ns0:c r="C82" s="69" t="n"/>
      <ns0:c r="D82" s="68" t="n"/>
      <ns0:c r="E82" s="68" t="n"/>
    </ns0:row>
    <ns0:row r="83" ht="32" customHeight="1" s="59">
      <ns0:c r="A83" s="74" t="n"/>
      <ns0:c r="B83" s="68" t="n"/>
      <ns0:c r="C83" s="69" t="n"/>
      <ns0:c r="D83" s="68" t="n"/>
      <ns0:c r="E83" s="68" t="n"/>
    </ns0:row>
    <ns0:row r="84" ht="32" customHeight="1" s="59">
      <ns0:c r="A84" s="74" t="n"/>
      <ns0:c r="B84" s="68" t="n"/>
      <ns0:c r="C84" s="69" t="n"/>
      <ns0:c r="D84" s="68" t="n"/>
      <ns0:c r="E84" s="68" t="n"/>
    </ns0:row>
    <ns0:row r="85" ht="32" customHeight="1" s="59">
      <ns0:c r="A85" s="74" t="n"/>
      <ns0:c r="B85" s="68" t="n"/>
      <ns0:c r="C85" s="69" t="n"/>
      <ns0:c r="D85" s="68" t="n"/>
      <ns0:c r="E85" s="68" t="n"/>
    </ns0:row>
    <ns0:row r="86" ht="32" customHeight="1" s="59">
      <ns0:c r="A86" s="74" t="n"/>
      <ns0:c r="B86" s="68" t="n"/>
      <ns0:c r="C86" s="69" t="n"/>
      <ns0:c r="D86" s="68" t="n"/>
      <ns0:c r="E86" s="68" t="n"/>
    </ns0:row>
    <ns0:row r="87" ht="32" customHeight="1" s="59">
      <ns0:c r="A87" s="74" t="n"/>
      <ns0:c r="B87" s="68" t="n"/>
      <ns0:c r="C87" s="69" t="n"/>
      <ns0:c r="D87" s="68" t="n"/>
      <ns0:c r="E87" s="68" t="n"/>
    </ns0:row>
    <ns0:row r="88" ht="32" customHeight="1" s="59">
      <ns0:c r="A88" s="74" t="n"/>
      <ns0:c r="B88" s="68" t="n"/>
      <ns0:c r="C88" s="69" t="n"/>
      <ns0:c r="D88" s="68" t="n"/>
      <ns0:c r="E88" s="68" t="n"/>
    </ns0:row>
    <ns0:row r="89" ht="32" customHeight="1" s="59">
      <ns0:c r="A89" s="74" t="n"/>
      <ns0:c r="B89" s="68" t="n"/>
      <ns0:c r="C89" s="69" t="n"/>
      <ns0:c r="D89" s="68" t="n"/>
      <ns0:c r="E89" s="68" t="n"/>
    </ns0:row>
    <ns0:row r="90" ht="32" customHeight="1" s="59">
      <ns0:c r="A90" s="74" t="n"/>
      <ns0:c r="B90" s="68" t="n"/>
      <ns0:c r="C90" s="69" t="n"/>
      <ns0:c r="D90" s="68" t="n"/>
      <ns0:c r="E90" s="68" t="n"/>
    </ns0:row>
    <ns0:row r="91" ht="32" customHeight="1" s="59">
      <ns0:c r="A91" s="74" t="n"/>
      <ns0:c r="B91" s="68" t="n"/>
      <ns0:c r="C91" s="69" t="n"/>
      <ns0:c r="D91" s="68" t="n"/>
      <ns0:c r="E91" s="68" t="n"/>
    </ns0:row>
    <ns0:row r="92" ht="32" customHeight="1" s="59">
      <ns0:c r="A92" s="74" t="n"/>
      <ns0:c r="B92" s="68" t="n"/>
      <ns0:c r="C92" s="69" t="n"/>
      <ns0:c r="D92" s="68" t="n"/>
      <ns0:c r="E92" s="68" t="n"/>
    </ns0:row>
    <ns0:row r="93" ht="32" customHeight="1" s="59">
      <ns0:c r="A93" s="74" t="n"/>
      <ns0:c r="B93" s="68" t="n"/>
      <ns0:c r="C93" s="69" t="n"/>
      <ns0:c r="D93" s="68" t="n"/>
      <ns0:c r="E93" s="68" t="n"/>
    </ns0:row>
    <ns0:row r="94" ht="32" customHeight="1" s="59">
      <ns0:c r="A94" s="74" t="n"/>
      <ns0:c r="B94" s="68" t="n"/>
      <ns0:c r="C94" s="69" t="n"/>
      <ns0:c r="D94" s="68" t="n"/>
      <ns0:c r="E94" s="68" t="n"/>
    </ns0:row>
    <ns0:row r="95" ht="32" customHeight="1" s="59">
      <ns0:c r="A95" s="74" t="n"/>
      <ns0:c r="B95" s="68" t="n"/>
      <ns0:c r="C95" s="69" t="n"/>
      <ns0:c r="D95" s="68" t="n"/>
      <ns0:c r="E95" s="68" t="n"/>
    </ns0:row>
    <ns0:row r="96" ht="32" customHeight="1" s="59">
      <ns0:c r="A96" s="74" t="n"/>
      <ns0:c r="B96" s="68" t="n"/>
      <ns0:c r="C96" s="69" t="n"/>
      <ns0:c r="D96" s="68" t="n"/>
      <ns0:c r="E96" s="68" t="n"/>
    </ns0:row>
    <ns0:row r="97" ht="32" customHeight="1" s="59">
      <ns0:c r="A97" s="74" t="n"/>
      <ns0:c r="B97" s="68" t="n"/>
      <ns0:c r="C97" s="69" t="n"/>
      <ns0:c r="D97" s="68" t="n"/>
      <ns0:c r="E97" s="68" t="n"/>
    </ns0:row>
    <ns0:row r="98" ht="32" customHeight="1" s="59">
      <ns0:c r="A98" s="74" t="n"/>
      <ns0:c r="B98" s="68" t="n"/>
      <ns0:c r="C98" s="69" t="n"/>
      <ns0:c r="D98" s="68" t="n"/>
      <ns0:c r="E98" s="68" t="n"/>
    </ns0:row>
    <ns0:row r="99" ht="32" customHeight="1" s="59">
      <ns0:c r="A99" s="74" t="n"/>
      <ns0:c r="B99" s="68" t="n"/>
      <ns0:c r="C99" s="69" t="n"/>
      <ns0:c r="D99" s="68" t="n"/>
      <ns0:c r="E99" s="68" t="n"/>
    </ns0:row>
    <ns0:row r="100" ht="32" customHeight="1" s="59">
      <ns0:c r="A100" s="74" t="n"/>
      <ns0:c r="B100" s="68" t="n"/>
      <ns0:c r="C100" s="69" t="n"/>
      <ns0:c r="D100" s="68" t="n"/>
      <ns0:c r="E100" s="68" t="n"/>
    </ns0:row>
    <ns0:row r="101" ht="32" customHeight="1" s="59">
      <ns0:c r="A101" s="74" t="n"/>
      <ns0:c r="B101" s="68" t="n"/>
      <ns0:c r="C101" s="69" t="n"/>
      <ns0:c r="D101" s="68" t="n"/>
      <ns0:c r="E101" s="68" t="n"/>
    </ns0:row>
    <ns0:row r="102" ht="32" customHeight="1" s="59">
      <ns0:c r="A102" s="74" t="n"/>
      <ns0:c r="B102" s="68" t="n"/>
      <ns0:c r="C102" s="69" t="n"/>
      <ns0:c r="D102" s="68" t="n"/>
      <ns0:c r="E102" s="68" t="n"/>
    </ns0:row>
    <ns0:row r="103" ht="32" customHeight="1" s="59">
      <ns0:c r="A103" s="74" t="n"/>
      <ns0:c r="B103" s="68" t="n"/>
      <ns0:c r="C103" s="69" t="n"/>
      <ns0:c r="D103" s="68" t="n"/>
      <ns0:c r="E103" s="68" t="n"/>
    </ns0:row>
  </ns0:sheetData>
  <ns0:sheetProtection selectLockedCells="0" selectUnlockedCells="0" sheet="1" objects="0" insertRows="1" insertHyperlinks="1" autoFilter="0" scenarios="0" formatColumns="1" deleteColumns="1" insertColumns="1" pivotTables="1" deleteRows="1" formatCells="1" formatRows="1" sort="1"/>
  <ns0:autoFilter ref="A3:E103"/>
  <ns0:mergeCells count="1">
    <ns0:mergeCell ref="A1:E1"/>
  </ns0:mergeCells>
  <ns0:dataValidations count="3">
    <ns0:dataValidation sqref="C4:C103" showDropDown="0" showInputMessage="1" showErrorMessage="1" allowBlank="1" errorTitle="Check this entry" error="Use the allowed value. Read the column notes." promptTitle="Input cell" prompt="Enter numbers without currency symbols. Clear unused rows." type="decimal" errorStyle="stop" operator="between">
      <ns0:formula1>-1000000000</ns0:formula1>
      <ns0:formula2>1000000000</ns0:formula2>
    </ns0:dataValidation>
    <ns0:dataValidation sqref="D4:D103" showDropDown="0" showInputMessage="1" showErrorMessage="1" allowBlank="1" errorTitle="Check this entry" error="Use the allowed value. Read the column notes." promptTitle="Input cell" prompt="Enter numbers without currency symbols. Clear unused rows." type="list" errorStyle="stop" operator="between">
      <ns0:formula1>"Bank transfer,Check,Card,Cash,Other"</ns0:formula1>
    </ns0:dataValidation>
    <ns0:dataValidation sqref="A4:A103" showDropDown="0" showInputMessage="1" showErrorMessage="1" allowBlank="1" errorTitle="Check this entry" error="Use the allowed value. Read the column notes." promptTitle="Input cell" prompt="Enter numbers without currency symbols. Clear unused rows." type="date" errorStyle="stop" operator="between">
      <ns0:formula1>DATE(2000,1,1)</ns0:formula1>
      <ns0:formula2>DATE(2100,12,31)</ns0:formula2>
    </ns0:dataValidation>
  </ns0:dataValidations>
  <ns0:printOptions horizontalCentered="1"/>
  <ns0:pageMargins left="0.7" right="0.7" top="0.75" bottom="0.75" header="0.3" footer="0.3"/>
  <ns0:pageSetup orientation="landscape" paperSize="1" fitToHeight="0" fitToWidth="1"/>
</ns0:worksheet>
</file>

<file path=xl/worksheets/sheet7.xml><?xml version="1.0" encoding="utf-8"?>
<ns0:worksheet xmlns:ns0="http://schemas.openxmlformats.org/spreadsheetml/2006/main">
  <ns0:sheetPr>
    <ns0:tabColor rgb="0016324F"/>
    <ns0:outlinePr summaryBelow="1" summaryRight="1"/>
    <ns0:pageSetUpPr fitToPage="1"/>
  </ns0:sheetPr>
  <ns0:dimension ref="A1:C28"/>
  <ns0:sheetViews>
    <ns0:sheetView showGridLines="0" workbookViewId="0">
      <ns0:pane xSplit="1" ySplit="3" topLeftCell="B4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36" customWidth="1" style="59" min="1" max="1"/>
    <ns0:col width="31" customWidth="1" style="59" min="2" max="2"/>
    <ns0:col width="76" customWidth="1" style="59" min="3" max="3"/>
  </ns0:cols>
  <ns0:sheetData>
    <ns0:row r="1" ht="34" customHeight="1" s="59">
      <ns0:c r="A1" s="63" t="inlineStr">
        <ns0:is>
          <ns0:t>PROJECT DASHBOARD  |  ONE JOB AT A TIME</ns0:t>
        </ns0:is>
      </ns0:c>
      <ns0:c r="B1" s="1" t="n"/>
      <ns0:c r="C1" s="1" t="n"/>
    </ns0:row>
    <ns0:row r="2">
      <ns0:c r="A2" s="64" t="n"/>
      <ns0:c r="B2" s="64" t="n"/>
      <ns0:c r="C2" s="64" t="n"/>
    </ns0:row>
    <ns0:row r="3" ht="32" customHeight="1" s="59">
      <ns0:c r="A3" s="65" t="inlineStr">
        <ns0:is>
          <ns0:t>METRIC</ns0:t>
        </ns0:is>
      </ns0:c>
      <ns0:c r="B3" s="65" t="inlineStr">
        <ns0:is>
          <ns0:t>VALUE</ns0:t>
        </ns0:is>
      </ns0:c>
      <ns0:c r="C3" s="65" t="inlineStr">
        <ns0:is>
          <ns0:t>WHAT THIS MEANS</ns0:t>
        </ns0:is>
      </ns0:c>
    </ns0:row>
    <ns0:row r="4" ht="32" customHeight="1" s="59">
      <ns0:c r="A4" s="64" t="inlineStr">
        <ns0:is>
          <ns0:t>Base quoted revenue</ns0:t>
        </ns0:is>
      </ns0:c>
      <ns0:c r="B4" s="72" t="n">
        <ns0:f>SUM('Estimate'!G4:G103)</ns0:f>
        <ns0:v>0</ns0:v>
      </ns0:c>
      <ns0:c r="C4" s="64" t="inlineStr">
        <ns0:is>
          <ns0:t>Base quoted selling prices, excluding pending changes</ns0:t>
        </ns0:is>
      </ns0:c>
    </ns0:row>
    <ns0:row r="5" ht="32" customHeight="1" s="59">
      <ns0:c r="A5" s="67" t="inlineStr">
        <ns0:is>
          <ns0:t>Approved change revenue</ns0:t>
        </ns0:is>
      </ns0:c>
      <ns0:c r="B5" s="73" t="n">
        <ns0:f>SUMIF('Change Orders'!C4:C103,"Approved",'Change Orders'!D4:D103)</ns0:f>
        <ns0:v>0</ns0:v>
      </ns0:c>
      <ns0:c r="C5" s="67" t="inlineStr">
        <ns0:is>
          <ns0:t>Only approved changes count as contract revenue</ns0:t>
        </ns0:is>
      </ns0:c>
    </ns0:row>
    <ns0:row r="6" ht="32" customHeight="1" s="59">
      <ns0:c r="A6" s="64" t="inlineStr">
        <ns0:is>
          <ns0:t>Contracted revenue</ns0:t>
        </ns0:is>
      </ns0:c>
      <ns0:c r="B6" s="72" t="n">
        <ns0:f>B4+B5</ns0:f>
        <ns0:v>0</ns0:v>
      </ns0:c>
      <ns0:c r="C6" s="64" t="inlineStr">
        <ns0:is>
          <ns0:t>Base revenue plus approved change orders; not cash collected</ns0:t>
        </ns0:is>
      </ns0:c>
    </ns0:row>
    <ns0:row r="7" ht="32" customHeight="1" s="59">
      <ns0:c r="A7" s="67" t="inlineStr">
        <ns0:is>
          <ns0:t>Estimated base direct costs</ns0:t>
        </ns0:is>
      </ns0:c>
      <ns0:c r="B7" s="73" t="n">
        <ns0:f>SUM('Estimate'!E4:E103)</ns0:f>
        <ns0:v>0</ns0:v>
      </ns0:c>
      <ns0:c r="C7" s="67" t="inlineStr">
        <ns0:is>
          <ns0:t>Estimated direct costs from base estimate</ns0:t>
        </ns0:is>
      </ns0:c>
    </ns0:row>
    <ns0:row r="8" ht="32" customHeight="1" s="59">
      <ns0:c r="A8" s="64" t="inlineStr">
        <ns0:is>
          <ns0:t>Estimated approved change costs</ns0:t>
        </ns0:is>
      </ns0:c>
      <ns0:c r="B8" s="72" t="n">
        <ns0:f>SUMIF('Change Orders'!C4:C103,"Approved",'Change Orders'!E4:E103)</ns0:f>
        <ns0:v>0</ns0:v>
      </ns0:c>
      <ns0:c r="C8" s="64" t="inlineStr">
        <ns0:is>
          <ns0:t>Estimates only; NOT added to actual costs</ns0:t>
        </ns0:is>
      </ns0:c>
    </ns0:row>
    <ns0:row r="9" ht="32" customHeight="1" s="59">
      <ns0:c r="A9" s="67" t="inlineStr">
        <ns0:is>
          <ns0:t>Budgeted project overhead</ns0:t>
        </ns0:is>
      </ns0:c>
      <ns0:c r="B9" s="73" t="n">
        <ns0:f>'Project Setup'!B7</ns0:f>
        <ns0:v>0</ns0:v>
      </ns0:c>
      <ns0:c r="C9" s="67" t="inlineStr">
        <ns0:is>
          <ns0:t>Planned overhead directly attributable to this project</ns0:t>
        </ns0:is>
      </ns0:c>
    </ns0:row>
    <ns0:row r="10" ht="32" customHeight="1" s="59">
      <ns0:c r="A10" s="64" t="inlineStr">
        <ns0:is>
          <ns0:t>Estimated total cost</ns0:t>
        </ns0:is>
      </ns0:c>
      <ns0:c r="B10" s="72" t="n">
        <ns0:f>SUM(B7:B9)</ns0:f>
        <ns0:v>0</ns0:v>
      </ns0:c>
      <ns0:c r="C10" s="64" t="inlineStr">
        <ns0:is>
          <ns0:t>Estimated base direct + approved change + overhead</ns0:t>
        </ns0:is>
      </ns0:c>
    </ns0:row>
    <ns0:row r="11" ht="32" customHeight="1" s="59">
      <ns0:c r="A11" s="66" t="inlineStr">
        <ns0:is>
          <ns0:t>Budgeted job contribution</ns0:t>
        </ns0:is>
      </ns0:c>
      <ns0:c r="B11" s="75" t="n">
        <ns0:f>B6-B10</ns0:f>
        <ns0:v>0</ns0:v>
      </ns0:c>
      <ns0:c r="C11" s="66" t="inlineStr">
        <ns0:is>
          <ns0:t>Contract revenue less estimated direct costs and attributable overhead; excludes corporate overhead and taxes.</ns0:t>
        </ns0:is>
      </ns0:c>
    </ns0:row>
    <ns0:row r="12" ht="32" customHeight="1" s="59">
      <ns0:c r="A12" s="64" t="inlineStr">
        <ns0:is>
          <ns0:t>Budgeted margin</ns0:t>
        </ns0:is>
      </ns0:c>
      <ns0:c r="B12" s="76" t="str">
        <ns0:f>IF(B6=0,"",B11/B6)</ns0:f>
        <ns0:v/>
      </ns0:c>
      <ns0:c r="C12" s="64" t="inlineStr">
        <ns0:is>
          <ns0:t>Contribution / contracted revenue. Blank when revenue is zero; markup is cost-based.</ns0:t>
        </ns0:is>
      </ns0:c>
    </ns0:row>
    <ns0:row r="13" ht="32" customHeight="1" s="59">
      <ns0:c r="A13" s="67" t="inlineStr">
        <ns0:is>
          <ns0:t>Logged actual direct cost</ns0:t>
        </ns0:is>
      </ns0:c>
      <ns0:c r="B13" s="73" t="n">
        <ns0:f>SUM('Actual Costs'!F4:F203)</ns0:f>
        <ns0:v>0</ns0:v>
      </ns0:c>
      <ns0:c r="C13" s="67" t="inlineStr">
        <ns0:is>
          <ns0:t>All actual cost entries, including change work where incurred</ns0:t>
        </ns0:is>
      </ns0:c>
    </ns0:row>
    <ns0:row r="14" ht="32" customHeight="1" s="59">
      <ns0:c r="A14" s="64" t="inlineStr">
        <ns0:is>
          <ns0:t>Actual overhead incurred</ns0:t>
        </ns0:is>
      </ns0:c>
      <ns0:c r="B14" s="72" t="n">
        <ns0:f>'Project Setup'!B8</ns0:f>
        <ns0:v>0</ns0:v>
      </ns0:c>
      <ns0:c r="C14" s="64" t="inlineStr">
        <ns0:is>
          <ns0:t>Actual attributable overhead not already logged above</ns0:t>
        </ns0:is>
      </ns0:c>
    </ns0:row>
    <ns0:row r="15" ht="32" customHeight="1" s="59">
      <ns0:c r="A15" s="66" t="inlineStr">
        <ns0:is>
          <ns0:t>Total incurred costs</ns0:t>
        </ns0:is>
      </ns0:c>
      <ns0:c r="B15" s="75" t="n">
        <ns0:f>B13+B14</ns0:f>
        <ns0:v>0</ns0:v>
      </ns0:c>
      <ns0:c r="C15" s="66" t="inlineStr">
        <ns0:is>
          <ns0:t>Costs incurred to date; incomplete projects omit future costs</ns0:t>
        </ns0:is>
      </ns0:c>
    </ns0:row>
    <ns0:row r="16" ht="32" customHeight="1" s="59">
      <ns0:c r="A16" s="64" t="inlineStr">
        <ns0:is>
          <ns0:t>Contract less costs incurred</ns0:t>
        </ns0:is>
      </ns0:c>
      <ns0:c r="B16" s="72" t="n">
        <ns0:f>B6-B15</ns0:f>
        <ns0:v>0</ns0:v>
      </ns0:c>
      <ns0:c r="C16" s="64" t="inlineStr">
        <ns0:is>
          <ns0:t>Not final profit if job is incomplete or unbilled costs remain</ns0:t>
        </ns0:is>
      </ns0:c>
    </ns0:row>
    <ns0:row r="17" ht="32" customHeight="1" s="59">
      <ns0:c r="A17" s="66" t="inlineStr">
        <ns0:is>
          <ns0:t>Incurred-cost margin</ns0:t>
        </ns0:is>
      </ns0:c>
      <ns0:c r="B17" s="77" t="str">
        <ns0:f>IF(B6=0,"",B16/B6)</ns0:f>
        <ns0:v/>
      </ns0:c>
      <ns0:c r="C17" s="66" t="inlineStr">
        <ns0:is>
          <ns0:t>Provisional contribution / contract. Blank when revenue is zero; no completion forecast.</ns0:t>
        </ns0:is>
      </ns0:c>
    </ns0:row>
    <ns0:row r="18" ht="32" customHeight="1" s="59">
      <ns0:c r="A18" s="64" t="inlineStr">
        <ns0:is>
          <ns0:t>Customer payments received</ns0:t>
        </ns0:is>
      </ns0:c>
      <ns0:c r="B18" s="72" t="n">
        <ns0:f>SUM('Payments'!C4:C103)</ns0:f>
        <ns0:v>0</ns0:v>
      </ns0:c>
      <ns0:c r="C18" s="64" t="inlineStr">
        <ns0:is>
          <ns0:t>Actual money collected from customer</ns0:t>
        </ns0:is>
      </ns0:c>
    </ns0:row>
    <ns0:row r="19" ht="32" customHeight="1" s="59">
      <ns0:c r="A19" s="78" t="inlineStr">
        <ns0:is>
          <ns0:t>Uncollected contract balance</ns0:t>
        </ns0:is>
      </ns0:c>
      <ns0:c r="B19" s="79" t="n">
        <ns0:f>B6-B18</ns0:f>
        <ns0:v>0</ns0:v>
      </ns0:c>
      <ns0:c r="C19" s="78" t="inlineStr">
        <ns0:is>
          <ns0:t>Negative means receipts exceed contract. Not accounts receivable or an invoice aging report.</ns0:t>
        </ns0:is>
      </ns0:c>
    </ns0:row>
    <ns0:row r="20" ht="32" customHeight="1" s="59">
      <ns0:c r="A20" s="64" t="inlineStr">
        <ns0:is>
          <ns0:t>Receipts less incurred costs</ns0:t>
        </ns0:is>
      </ns0:c>
      <ns0:c r="B20" s="72" t="n">
        <ns0:f>B18-B15</ns0:f>
        <ns0:v>0</ns0:v>
      </ns0:c>
      <ns0:c r="C20" s="64" t="inlineStr">
        <ns0:is>
          <ns0:t>NOT cash flow: expenses may be unpaid. No expense-payment ledger is included.</ns0:t>
        </ns0:is>
      </ns0:c>
    </ns0:row>
    <ns0:row r="21" ht="32" customHeight="1" s="59">
      <ns0:c r="A21" s="78" t="inlineStr">
        <ns0:is>
          <ns0:t>Cost still available vs budget</ns0:t>
        </ns0:is>
      </ns0:c>
      <ns0:c r="B21" s="79" t="n">
        <ns0:f>B10-B15</ns0:f>
        <ns0:v>0</ns0:v>
      </ns0:c>
      <ns0:c r="C21" s="78" t="inlineStr">
        <ns0:is>
          <ns0:t>Negative means incurred costs exceed total estimated budget</ns0:t>
        </ns0:is>
      </ns0:c>
    </ns0:row>
    <ns0:row r="22" ht="32" customHeight="1" s="59">
      <ns0:c r="A22" s="64" t="inlineStr">
        <ns0:is>
          <ns0:t>Contingency allowance</ns0:t>
        </ns0:is>
      </ns0:c>
      <ns0:c r="B22" s="72" t="n">
        <ns0:f>ROUND(B10*'Project Setup'!B9,2)</ns0:f>
        <ns0:v>0</ns0:v>
      </ns0:c>
      <ns0:c r="C22" s="64" t="inlineStr">
        <ns0:is>
          <ns0:t>Optional planning reserve, NOT automatically added to contracted revenue</ns0:t>
        </ns0:is>
      </ns0:c>
    </ns0:row>
    <ns0:row r="23" ht="32" customHeight="1" s="59">
      <ns0:c r="A23" s="67" t="inlineStr">
        <ns0:is>
          <ns0:t>Margin target</ns0:t>
        </ns0:is>
      </ns0:c>
      <ns0:c r="B23" s="80" t="n">
        <ns0:f>'Project Setup'!B13</ns0:f>
        <ns0:v>0.2</ns0:v>
      </ns0:c>
      <ns0:c r="C23" s="67" t="inlineStr">
        <ns0:is>
          <ns0:t>Desired project margin; assess again when the job is complete</ns0:t>
        </ns0:is>
      </ns0:c>
    </ns0:row>
    <ns0:row r="24" ht="32" customHeight="1" s="59">
      <ns0:c r="A24" s="64" t="inlineStr">
        <ns0:is>
          <ns0:t>Entry warnings</ns0:t>
        </ns0:is>
      </ns0:c>
      <ns0:c r="B24" s="81" t="n">
        <ns0:f>SUMPRODUCT(--(Estimate!A4:A103&lt;&gt;""),--(Estimate!C4:C103=""))+SUMPRODUCT(--(Estimate!A4:A103&lt;&gt;""),--(Estimate!D4:D103=""))+SUMPRODUCT(--('Actual Costs'!B4:B203&lt;&gt;""),--('Actual Costs'!D4:D203=""))+SUMPRODUCT(--('Actual Costs'!B4:B203&lt;&gt;""),--('Actual Costs'!E4:E203=""))+SUMPRODUCT(--('Change Orders'!C4:C103="Approved"),--('Change Orders'!D4:D103=""))+SUMPRODUCT(--('Change Orders'!C4:C103="Approved"),--('Change Orders'!E4:E103=""))+SUMPRODUCT(--(Payments!B4:B103&lt;&gt;""),--(Payments!C4:C103=""))</ns0:f>
        <ns0:v>0</ns0:v>
      </ns0:c>
      <ns0:c r="C24" s="64" t="inlineStr">
        <ns0:is>
          <ns0:t>Missing required numeric fields on described entries. Counts fields, not rows. Review before relying on totals.</ns0:t>
        </ns0:is>
      </ns0:c>
    </ns0:row>
    <ns0:row r="25" ht="32" customHeight="1" s="59">
      <ns0:c r="A25" s="67" t="n"/>
      <ns0:c r="B25" s="67" t="n"/>
      <ns0:c r="C25" s="67" t="n"/>
    </ns0:row>
    <ns0:row r="26" ht="32" customHeight="1" s="59">
      <ns0:c r="A26" s="64" t="inlineStr">
        <ns0:is>
          <ns0:t>IMPORTANT</ns0:t>
        </ns0:is>
      </ns0:c>
      <ns0:c r="B26" s="64" t="inlineStr">
        <ns0:is>
          <ns0:t>Revenue is contracted, not necessarily invoiced or collected.</ns0:t>
        </ns0:is>
      </ns0:c>
      <ns0:c r="C26" s="64" t="str"/>
    </ns0:row>
    <ns0:row r="27" ht="32" customHeight="1" s="59">
      <ns0:c r="A27" s="82" t="inlineStr">
        <ns0:is>
          <ns0:t>COST POLICY</ns0:t>
        </ns0:is>
      </ns0:c>
      <ns0:c r="B27" s="82" t="inlineStr">
        <ns0:is>
          <ns0:t>Change-order actual costs belong in Actual Costs exactly once.</ns0:t>
        </ns0:is>
      </ns0:c>
      <ns0:c r="C27" s="82" t="str"/>
    </ns0:row>
    <ns0:row r="28" ht="32" customHeight="1" s="59">
      <ns0:c r="A28" s="64" t="inlineStr">
        <ns0:is>
          <ns0:t>STATUS</ns0:t>
        </ns0:is>
      </ns0:c>
      <ns0:c r="B28" s="64" t="inlineStr">
        <ns0:is>
          <ns0:t>Provisional until every cost is recorded. Blank margin means zero contract revenue.</ns0:t>
        </ns0:is>
      </ns0:c>
      <ns0:c r="C28" s="64" t="str"/>
    </ns0:row>
  </ns0:sheetData>
  <ns0:sheetProtection selectLockedCells="0" selectUnlockedCells="0" sheet="1" objects="0" insertRows="1" insertHyperlinks="1" autoFilter="0" scenarios="0" formatColumns="1" deleteColumns="1" insertColumns="1" pivotTables="1" deleteRows="1" formatCells="1" formatRows="1" sort="1"/>
  <ns0:mergeCells count="1">
    <ns0:mergeCell ref="A1:C1"/>
  </ns0:mergeCells>
  <ns0:conditionalFormatting sqref="B16">
    <ns0:cfRule type="cellIs" priority="1" operator="lessThan" dxfId="0">
      <ns0:formula>0</ns0:formula>
    </ns0:cfRule>
  </ns0:conditionalFormatting>
  <ns0:conditionalFormatting sqref="B21">
    <ns0:cfRule type="cellIs" priority="2" operator="lessThan" dxfId="0">
      <ns0:formula>0</ns0:formula>
    </ns0:cfRule>
  </ns0:conditionalFormatting>
  <ns0:conditionalFormatting sqref="B11">
    <ns0:cfRule type="cellIs" priority="3" operator="lessThan" dxfId="2">
      <ns0:formula>0</ns0:formula>
    </ns0:cfRule>
  </ns0:conditionalFormatting>
  <ns0:conditionalFormatting sqref="B24">
    <ns0:cfRule type="cellIs" priority="4" operator="greaterThan" dxfId="2">
      <ns0:formula>0</ns0:formula>
    </ns0:cfRule>
  </ns0:conditionalFormatting>
  <ns0:conditionalFormatting sqref="B12">
    <ns0:cfRule type="cellIs" priority="5" operator="lessThan" dxfId="3">
      <ns0:formula>B23</ns0:formula>
    </ns0:cfRule>
  </ns0:conditionalFormatting>
  <ns0:printOptions horizontalCentered="1"/>
  <ns0:pageMargins left="0.7" right="0.7" top="0.75" bottom="0.75" header="0.3" footer="0.3"/>
  <ns0:pageSetup orientation="landscape" paperSize="1" fitToHeight="0" fitToWidth="1"/>
</ns0:worksheet>
</file>

<file path=xl/worksheets/sheet8.xml><?xml version="1.0" encoding="utf-8"?>
<ns0:worksheet xmlns:ns0="http://schemas.openxmlformats.org/spreadsheetml/2006/main">
  <ns0:sheetPr>
    <ns0:tabColor rgb="0016324F"/>
    <ns0:outlinePr summaryBelow="1" summaryRight="1"/>
    <ns0:pageSetUpPr fitToPage="1"/>
  </ns0:sheetPr>
  <ns0:dimension ref="A1:B7"/>
  <ns0:sheetViews>
    <ns0:sheetView showGridLines="0" workbookViewId="0">
      <ns0:pane xSplit="1" ySplit="3" topLeftCell="B4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36" customWidth="1" style="59" min="1" max="1"/>
    <ns0:col width="31" customWidth="1" style="59" min="2" max="2"/>
    <ns0:col width="76" customWidth="1" style="59" min="3" max="3"/>
  </ns0:cols>
  <ns0:sheetData>
    <ns0:row r="1" ht="34" customHeight="1" s="59">
      <ns0:c r="A1" s="83" t="inlineStr">
        <ns0:is>
          <ns0:t>CONTRACTOR TOOLKIT — RELEASE NOTES</ns0:t>
        </ns0:is>
      </ns0:c>
      <ns0:c r="B1" s="83" t="str"/>
    </ns0:row>
    <ns0:row r="2">
      <ns0:c r="A2" s="64" t="inlineStr">
        <ns0:is>
          <ns0:t>Version</ns0:t>
        </ns0:is>
      </ns0:c>
      <ns0:c r="B2" s="64" t="inlineStr">
        <ns0:is>
          <ns0:t>1.2 production package</ns0:t>
        </ns0:is>
      </ns0:c>
    </ns0:row>
    <ns0:row r="3" ht="32" customHeight="1" s="59">
      <ns0:c r="A3" s="65" t="inlineStr">
        <ns0:is>
          <ns0:t>Scope</ns0:t>
        </ns0:is>
      </ns0:c>
      <ns0:c r="B3" s="65" t="inlineStr">
        <ns0:is>
          <ns0:t>Single project per workbook; USD; Excel formulas</ns0:t>
        </ns0:is>
      </ns0:c>
    </ns0:row>
    <ns0:row r="4" ht="32" customHeight="1" s="59">
      <ns0:c r="A4" s="64" t="inlineStr">
        <ns0:is>
          <ns0:t>Demo data</ns0:t>
        </ns0:is>
      </ns0:c>
      <ns0:c r="B4" s="64" t="inlineStr">
        <ns0:is>
          <ns0:t>All example customers and transactions are fictional</ns0:t>
        </ns0:is>
      </ns0:c>
    </ns0:row>
    <ns0:row r="5" ht="32" customHeight="1" s="59">
      <ns0:c r="A5" s="67" t="inlineStr">
        <ns0:is>
          <ns0:t>Profit warning</ns0:t>
        </ns0:is>
      </ns0:c>
      <ns0:c r="B5" s="67" t="inlineStr">
        <ns0:is>
          <ns0:t>Projected margin is not realized profit; verify all costs and revenue</ns0:t>
        </ns0:is>
      </ns0:c>
    </ns0:row>
    <ns0:row r="6" ht="32" customHeight="1" s="59">
      <ns0:c r="A6" s="64" t="inlineStr">
        <ns0:is>
          <ns0:t>Tax warning</ns0:t>
        </ns0:is>
      </ns0:c>
      <ns0:c r="B6" s="64" t="inlineStr">
        <ns0:is>
          <ns0:t>No sales tax, income tax, payroll tax or jurisdiction-specific compliance calculated</ns0:t>
        </ns0:is>
      </ns0:c>
    </ns0:row>
    <ns0:row r="7" ht="32" customHeight="1" s="59">
      <ns0:c r="A7" s="67" t="inlineStr">
        <ns0:is>
          <ns0:t>License</ns0:t>
        </ns0:is>
      </ns0:c>
      <ns0:c r="B7" s="67" t="inlineStr">
        <ns0:is>
          <ns0:t>One purchasing business may reuse for its own jobs. No redistribution or resale. See included license.</ns0:t>
        </ns0:is>
      </ns0:c>
    </ns0:row>
  </ns0:sheetData>
  <ns0:sheetProtection selectLockedCells="0" selectUnlockedCells="0" sheet="1" objects="0" insertRows="1" insertHyperlinks="1" autoFilter="0" scenarios="0" formatColumns="1" deleteColumns="1" insertColumns="1" pivotTables="1" deleteRows="1" formatCells="1" formatRows="1" sort="1"/>
  <ns0:printOptions horizontalCentered="1"/>
  <ns0:pageMargins left="0.7" right="0.7" top="0.75" bottom="0.75" header="0.3" footer="0.3"/>
  <ns0:pageSetup orientation="landscape" paperSize="1" fitToHeight="0" fitToWidth="1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2026-10-11T16:52:52Z</dcterms:created>
  <dcterms:modified xmlns:dcterms="http://purl.org/dc/terms/" xmlns:xsi="http://www.w3.org/2001/XMLSchema-instance" xsi:type="dcterms:W3CDTF">2026-10-11T16:58:47Z</dcterms:modified>
</cp:coreProperties>
</file>